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\Documents\GitHub\dungeon_2022\output\gamedata\resources\"/>
    </mc:Choice>
  </mc:AlternateContent>
  <xr:revisionPtr revIDLastSave="0" documentId="13_ncr:1_{00BF4551-4A8C-4EE2-AFF4-22BEF51F4B5F}" xr6:coauthVersionLast="47" xr6:coauthVersionMax="47" xr10:uidLastSave="{00000000-0000-0000-0000-000000000000}"/>
  <bookViews>
    <workbookView xWindow="-108" yWindow="-108" windowWidth="23256" windowHeight="12576" xr2:uid="{1EAC516A-29E4-4A4F-8D7F-C21D2161E2AF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3" i="3" l="1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I34" i="3"/>
  <c r="I33" i="3"/>
  <c r="I32" i="3"/>
  <c r="I22" i="3"/>
  <c r="I21" i="3"/>
  <c r="I20" i="3"/>
  <c r="G35" i="3"/>
  <c r="G34" i="3"/>
  <c r="G23" i="3"/>
  <c r="G22" i="3"/>
  <c r="E43" i="3"/>
  <c r="I43" i="3" s="1"/>
  <c r="E42" i="3"/>
  <c r="I42" i="3" s="1"/>
  <c r="E41" i="3"/>
  <c r="I41" i="3" s="1"/>
  <c r="E40" i="3"/>
  <c r="I40" i="3" s="1"/>
  <c r="E39" i="3"/>
  <c r="I39" i="3" s="1"/>
  <c r="E38" i="3"/>
  <c r="I38" i="3" s="1"/>
  <c r="E37" i="3"/>
  <c r="I37" i="3" s="1"/>
  <c r="E36" i="3"/>
  <c r="I36" i="3" s="1"/>
  <c r="E35" i="3"/>
  <c r="I35" i="3" s="1"/>
  <c r="E34" i="3"/>
  <c r="E33" i="3"/>
  <c r="G33" i="3" s="1"/>
  <c r="E32" i="3"/>
  <c r="G32" i="3" s="1"/>
  <c r="E31" i="3"/>
  <c r="I31" i="3" s="1"/>
  <c r="E30" i="3"/>
  <c r="I30" i="3" s="1"/>
  <c r="E29" i="3"/>
  <c r="I29" i="3" s="1"/>
  <c r="E28" i="3"/>
  <c r="I28" i="3" s="1"/>
  <c r="E27" i="3"/>
  <c r="I27" i="3" s="1"/>
  <c r="E26" i="3"/>
  <c r="I26" i="3" s="1"/>
  <c r="E25" i="3"/>
  <c r="I25" i="3" s="1"/>
  <c r="E24" i="3"/>
  <c r="G24" i="3" s="1"/>
  <c r="E23" i="3"/>
  <c r="I23" i="3" s="1"/>
  <c r="E22" i="3"/>
  <c r="E21" i="3"/>
  <c r="G21" i="3" s="1"/>
  <c r="E20" i="3"/>
  <c r="G20" i="3" s="1"/>
  <c r="E19" i="3"/>
  <c r="I19" i="3" s="1"/>
  <c r="E18" i="3"/>
  <c r="I18" i="3" s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1" i="4"/>
  <c r="E2" i="3"/>
  <c r="G2" i="3" s="1"/>
  <c r="E3" i="3"/>
  <c r="I3" i="3" s="1"/>
  <c r="E4" i="3"/>
  <c r="G4" i="3" s="1"/>
  <c r="E5" i="3"/>
  <c r="G5" i="3" s="1"/>
  <c r="E6" i="3"/>
  <c r="I6" i="3" s="1"/>
  <c r="E7" i="3"/>
  <c r="I7" i="3" s="1"/>
  <c r="E8" i="3"/>
  <c r="I8" i="3" s="1"/>
  <c r="E9" i="3"/>
  <c r="I9" i="3" s="1"/>
  <c r="E10" i="3"/>
  <c r="I10" i="3" s="1"/>
  <c r="E11" i="3"/>
  <c r="I11" i="3" s="1"/>
  <c r="E12" i="3"/>
  <c r="I12" i="3" s="1"/>
  <c r="E13" i="3"/>
  <c r="I13" i="3" s="1"/>
  <c r="E14" i="3"/>
  <c r="G14" i="3" s="1"/>
  <c r="E15" i="3"/>
  <c r="I15" i="3" s="1"/>
  <c r="E16" i="3"/>
  <c r="G16" i="3" s="1"/>
  <c r="E1" i="3"/>
  <c r="G1" i="3" s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8" i="1"/>
  <c r="B7" i="1"/>
  <c r="B6" i="1"/>
  <c r="B5" i="1"/>
  <c r="B4" i="1"/>
  <c r="B3" i="1"/>
  <c r="B2" i="1"/>
  <c r="G36" i="3" l="1"/>
  <c r="G25" i="3"/>
  <c r="G37" i="3"/>
  <c r="G26" i="3"/>
  <c r="G38" i="3"/>
  <c r="I24" i="3"/>
  <c r="G27" i="3"/>
  <c r="G39" i="3"/>
  <c r="G28" i="3"/>
  <c r="G40" i="3"/>
  <c r="G29" i="3"/>
  <c r="G41" i="3"/>
  <c r="G18" i="3"/>
  <c r="G30" i="3"/>
  <c r="G42" i="3"/>
  <c r="G19" i="3"/>
  <c r="G31" i="3"/>
  <c r="G43" i="3"/>
  <c r="I2" i="3"/>
  <c r="I14" i="3"/>
  <c r="I1" i="3"/>
  <c r="I16" i="3"/>
  <c r="G10" i="3"/>
  <c r="G11" i="3"/>
  <c r="I5" i="3"/>
  <c r="I4" i="3"/>
  <c r="G13" i="3"/>
  <c r="G12" i="3"/>
  <c r="G9" i="3"/>
  <c r="G8" i="3"/>
  <c r="G7" i="3"/>
  <c r="G6" i="3"/>
  <c r="G15" i="3"/>
  <c r="G3" i="3"/>
</calcChain>
</file>

<file path=xl/sharedStrings.xml><?xml version="1.0" encoding="utf-8"?>
<sst xmlns="http://schemas.openxmlformats.org/spreadsheetml/2006/main" count="756" uniqueCount="402">
  <si>
    <t>.ATtOP&lt;Ff&amp;M&gt;OD.^.^.^.^s+EVHL=$$S~][[[[]]][)))((())((||||||||{?!BCc}o:;'&amp;&amp;&amp;&amp;.</t>
  </si>
  <si>
    <t>.</t>
  </si>
  <si>
    <t>a holy altar</t>
  </si>
  <si>
    <t>a handsome jewel encrusted throne</t>
  </si>
  <si>
    <t>a massive throne</t>
  </si>
  <si>
    <t>the orb</t>
  </si>
  <si>
    <t>a pit</t>
  </si>
  <si>
    <t>a staircase leading upwards</t>
  </si>
  <si>
    <t>a bubbling fountain</t>
  </si>
  <si>
    <t>a dead fountain</t>
  </si>
  <si>
    <t>a great marble statue</t>
  </si>
  <si>
    <t>a mirror</t>
  </si>
  <si>
    <t>a staircase going down</t>
  </si>
  <si>
    <t>an open door</t>
  </si>
  <si>
    <t>a closed door</t>
  </si>
  <si>
    <t>an arrow trap</t>
  </si>
  <si>
    <t>a dart trap</t>
  </si>
  <si>
    <t>a trapdoor</t>
  </si>
  <si>
    <t>a teleport trap</t>
  </si>
  <si>
    <t>a sphere of annihilation</t>
  </si>
  <si>
    <t>the college of Larn</t>
  </si>
  <si>
    <t>the dungeon entrance</t>
  </si>
  <si>
    <t>a volcanic shaft leaning downward</t>
  </si>
  <si>
    <t>your home</t>
  </si>
  <si>
    <t>the Larn Revenue Service</t>
  </si>
  <si>
    <t>the DND store</t>
  </si>
  <si>
    <t>the bank of Larn</t>
  </si>
  <si>
    <t>the 5th branch of the Bank of Larn</t>
  </si>
  <si>
    <t>the local trading post</t>
  </si>
  <si>
    <t>The Eye of Larn</t>
  </si>
  <si>
    <t>plate mail</t>
  </si>
  <si>
    <t>chain mail</t>
  </si>
  <si>
    <t>leather armor</t>
  </si>
  <si>
    <t>ring mail</t>
  </si>
  <si>
    <t>studded leather armor</t>
  </si>
  <si>
    <t>splint mail</t>
  </si>
  <si>
    <t>plate armor</t>
  </si>
  <si>
    <t>stainless plate armor</t>
  </si>
  <si>
    <t>shield</t>
  </si>
  <si>
    <t>sword of slashing</t>
  </si>
  <si>
    <t>Bessman's flailing hammer</t>
  </si>
  <si>
    <t>sunsword</t>
  </si>
  <si>
    <t>two handed sword</t>
  </si>
  <si>
    <t>spear</t>
  </si>
  <si>
    <t>dagger</t>
  </si>
  <si>
    <t>battle axe</t>
  </si>
  <si>
    <t>longsword</t>
  </si>
  <si>
    <t>flail</t>
  </si>
  <si>
    <t>lance of death</t>
  </si>
  <si>
    <t>ring of extra regeneration</t>
  </si>
  <si>
    <t>a ring of regeneration</t>
  </si>
  <si>
    <t>a ring of protection</t>
  </si>
  <si>
    <t>an energy ring</t>
  </si>
  <si>
    <t>a ring of dexterity</t>
  </si>
  <si>
    <t>a ring of strength</t>
  </si>
  <si>
    <t>a ring of cleverness</t>
  </si>
  <si>
    <t>a ring of increase damage</t>
  </si>
  <si>
    <t>a belt of striking</t>
  </si>
  <si>
    <t>a magic scroll</t>
  </si>
  <si>
    <t>a magic potion</t>
  </si>
  <si>
    <t>a book</t>
  </si>
  <si>
    <t>a chest</t>
  </si>
  <si>
    <t>a fortune cookie</t>
  </si>
  <si>
    <t>an amulet of invisibility</t>
  </si>
  <si>
    <t>an orb of dragon slaying</t>
  </si>
  <si>
    <t>a scarab of negate spirit</t>
  </si>
  <si>
    <t>a cube of undead control</t>
  </si>
  <si>
    <t>device of theft prevention</t>
  </si>
  <si>
    <t>a brilliant diamond</t>
  </si>
  <si>
    <t>a ruby</t>
  </si>
  <si>
    <t>an enchanting emerald</t>
  </si>
  <si>
    <t>a sparkling sapphire</t>
  </si>
  <si>
    <t>OALTAR</t>
  </si>
  <si>
    <t>1;</t>
  </si>
  <si>
    <t>OTHRONE</t>
  </si>
  <si>
    <t>2;</t>
  </si>
  <si>
    <t>ODESTROYEDTHRONE</t>
  </si>
  <si>
    <t>3;</t>
  </si>
  <si>
    <t>OORB</t>
  </si>
  <si>
    <t>4;</t>
  </si>
  <si>
    <t>OPIT</t>
  </si>
  <si>
    <t>5;</t>
  </si>
  <si>
    <t>OSTAIRSUP</t>
  </si>
  <si>
    <t>6;</t>
  </si>
  <si>
    <t>OFOUNTAIN</t>
  </si>
  <si>
    <t>7;</t>
  </si>
  <si>
    <t>OSTATUE</t>
  </si>
  <si>
    <t>8;</t>
  </si>
  <si>
    <t>OTELEPORTER</t>
  </si>
  <si>
    <t>9;</t>
  </si>
  <si>
    <t>OSCHOOL</t>
  </si>
  <si>
    <t>10;</t>
  </si>
  <si>
    <t>OMIRROR</t>
  </si>
  <si>
    <t>11;</t>
  </si>
  <si>
    <t>ODNDSTORE</t>
  </si>
  <si>
    <t>28;</t>
  </si>
  <si>
    <t>OSTAIRSDOWN</t>
  </si>
  <si>
    <t>OELEVATORDOWN</t>
  </si>
  <si>
    <t>OBANK2</t>
  </si>
  <si>
    <t>15;</t>
  </si>
  <si>
    <t>OBANK</t>
  </si>
  <si>
    <t>16;</t>
  </si>
  <si>
    <t>ODEADFOUNTAIN</t>
  </si>
  <si>
    <t>17;</t>
  </si>
  <si>
    <t>OMAXGOLD</t>
  </si>
  <si>
    <t>70;</t>
  </si>
  <si>
    <t>OGOLDPILE</t>
  </si>
  <si>
    <t>18;</t>
  </si>
  <si>
    <t>OOPENDOOR</t>
  </si>
  <si>
    <t>12;</t>
  </si>
  <si>
    <t>OCLOSEDDOOR</t>
  </si>
  <si>
    <t>13;</t>
  </si>
  <si>
    <t>//OWALL</t>
  </si>
  <si>
    <t>21;</t>
  </si>
  <si>
    <t>OWALL</t>
  </si>
  <si>
    <t>35;</t>
  </si>
  <si>
    <t>OFLOOR</t>
  </si>
  <si>
    <t>46;</t>
  </si>
  <si>
    <t>OTRAPARROW</t>
  </si>
  <si>
    <t>66;</t>
  </si>
  <si>
    <t>OTRAPARROWIV</t>
  </si>
  <si>
    <t>67;</t>
  </si>
  <si>
    <t>OLARNEYE</t>
  </si>
  <si>
    <t>22;</t>
  </si>
  <si>
    <t>OPLATE</t>
  </si>
  <si>
    <t>23;</t>
  </si>
  <si>
    <t>OCHAIN</t>
  </si>
  <si>
    <t>24;</t>
  </si>
  <si>
    <t>OLEATHER</t>
  </si>
  <si>
    <t>25;</t>
  </si>
  <si>
    <t>ORING</t>
  </si>
  <si>
    <t>60;</t>
  </si>
  <si>
    <t>OSTUDLEATHER</t>
  </si>
  <si>
    <t>61;</t>
  </si>
  <si>
    <t>OSPLINT</t>
  </si>
  <si>
    <t>62;</t>
  </si>
  <si>
    <t>OPLATEARMOR</t>
  </si>
  <si>
    <t>63;</t>
  </si>
  <si>
    <t>OSSPLATE</t>
  </si>
  <si>
    <t>64;</t>
  </si>
  <si>
    <t>OSHIELD</t>
  </si>
  <si>
    <t>68;</t>
  </si>
  <si>
    <t>OELVENCHAIN</t>
  </si>
  <si>
    <t>92;</t>
  </si>
  <si>
    <t>OSWORDofSLASHING</t>
  </si>
  <si>
    <t>26;</t>
  </si>
  <si>
    <t>OHAMMER</t>
  </si>
  <si>
    <t>27;</t>
  </si>
  <si>
    <t>OSWORD</t>
  </si>
  <si>
    <t>O2SWORD</t>
  </si>
  <si>
    <t>29;</t>
  </si>
  <si>
    <t>OSPEAR</t>
  </si>
  <si>
    <t>30;</t>
  </si>
  <si>
    <t>ODAGGER</t>
  </si>
  <si>
    <t>31;</t>
  </si>
  <si>
    <t>OBATTLEAXE</t>
  </si>
  <si>
    <t>57;</t>
  </si>
  <si>
    <t>OLONGSWORD</t>
  </si>
  <si>
    <t>58;</t>
  </si>
  <si>
    <t>OFLAIL</t>
  </si>
  <si>
    <t>59;</t>
  </si>
  <si>
    <t>OLANCE</t>
  </si>
  <si>
    <t>65;</t>
  </si>
  <si>
    <t>OVORPAL</t>
  </si>
  <si>
    <t>90;</t>
  </si>
  <si>
    <t>OSLAYER</t>
  </si>
  <si>
    <t>91;</t>
  </si>
  <si>
    <t>ORINGOFEXTRA</t>
  </si>
  <si>
    <t>32;</t>
  </si>
  <si>
    <t>OREGENRING</t>
  </si>
  <si>
    <t>33;</t>
  </si>
  <si>
    <t>OPROTRING</t>
  </si>
  <si>
    <t>34;</t>
  </si>
  <si>
    <t>OENERGYRING</t>
  </si>
  <si>
    <t>ODEXRING</t>
  </si>
  <si>
    <t>36;</t>
  </si>
  <si>
    <t>OSTRRING</t>
  </si>
  <si>
    <t>37;</t>
  </si>
  <si>
    <t>OCLEVERRING</t>
  </si>
  <si>
    <t>38;</t>
  </si>
  <si>
    <t>ODAMRING</t>
  </si>
  <si>
    <t>39;</t>
  </si>
  <si>
    <t>OBELT</t>
  </si>
  <si>
    <t>40;</t>
  </si>
  <si>
    <t>OSCROLL</t>
  </si>
  <si>
    <t>41;</t>
  </si>
  <si>
    <t>OPOTION</t>
  </si>
  <si>
    <t>42;</t>
  </si>
  <si>
    <t>OBOOK</t>
  </si>
  <si>
    <t>43;</t>
  </si>
  <si>
    <t>OCHEST</t>
  </si>
  <si>
    <t>44;</t>
  </si>
  <si>
    <t>OAMULET</t>
  </si>
  <si>
    <t>45;</t>
  </si>
  <si>
    <t>OORBOFDRAGON</t>
  </si>
  <si>
    <t>OSPIRITSCARAB</t>
  </si>
  <si>
    <t>47;</t>
  </si>
  <si>
    <t>OCUBEofUNDEAD</t>
  </si>
  <si>
    <t>48;</t>
  </si>
  <si>
    <t>ONOTHEFT</t>
  </si>
  <si>
    <t>49;</t>
  </si>
  <si>
    <t>ODIAMOND</t>
  </si>
  <si>
    <t>50;</t>
  </si>
  <si>
    <t>ORUBY</t>
  </si>
  <si>
    <t>51;</t>
  </si>
  <si>
    <t>OEMERALD</t>
  </si>
  <si>
    <t>52;</t>
  </si>
  <si>
    <t>OSAPPHIRE</t>
  </si>
  <si>
    <t>53;</t>
  </si>
  <si>
    <t>OENTRANCE</t>
  </si>
  <si>
    <t>OVOLDOWN</t>
  </si>
  <si>
    <t>55;</t>
  </si>
  <si>
    <t>OVOLUP</t>
  </si>
  <si>
    <t>56;</t>
  </si>
  <si>
    <t>OHOME</t>
  </si>
  <si>
    <t>69;</t>
  </si>
  <si>
    <t>OKGOLD</t>
  </si>
  <si>
    <t>71;</t>
  </si>
  <si>
    <t>ODGOLD</t>
  </si>
  <si>
    <t>72;</t>
  </si>
  <si>
    <t>OIVDARTRAP</t>
  </si>
  <si>
    <t>73;</t>
  </si>
  <si>
    <t>ODARTRAP</t>
  </si>
  <si>
    <t>74;</t>
  </si>
  <si>
    <t>OTRAPDOOR</t>
  </si>
  <si>
    <t>75;</t>
  </si>
  <si>
    <t>OIVTRAPDOOR</t>
  </si>
  <si>
    <t>76;</t>
  </si>
  <si>
    <t>OTRADEPOST</t>
  </si>
  <si>
    <t>77;</t>
  </si>
  <si>
    <t>OIVTELETRAP</t>
  </si>
  <si>
    <t>78;</t>
  </si>
  <si>
    <t>ODEADTHRONE</t>
  </si>
  <si>
    <t>79;</t>
  </si>
  <si>
    <t>OANNIHILATION</t>
  </si>
  <si>
    <t>80;</t>
  </si>
  <si>
    <t>OTHRONE2</t>
  </si>
  <si>
    <t>81;</t>
  </si>
  <si>
    <t>OLRS</t>
  </si>
  <si>
    <t>82;</t>
  </si>
  <si>
    <t>OCOOKIE</t>
  </si>
  <si>
    <t>83;</t>
  </si>
  <si>
    <t>OURN</t>
  </si>
  <si>
    <t>84;</t>
  </si>
  <si>
    <t>OBRASSLAMP</t>
  </si>
  <si>
    <t>85;</t>
  </si>
  <si>
    <t>OHANDofFEAR</t>
  </si>
  <si>
    <t>86;</t>
  </si>
  <si>
    <t>OSPHTAILSMAN</t>
  </si>
  <si>
    <t>87;</t>
  </si>
  <si>
    <t>OWWAND</t>
  </si>
  <si>
    <t>88;</t>
  </si>
  <si>
    <t>OPSTAFF</t>
  </si>
  <si>
    <t>89;</t>
  </si>
  <si>
    <t>A</t>
  </si>
  <si>
    <t>T</t>
  </si>
  <si>
    <t>t</t>
  </si>
  <si>
    <t>O</t>
  </si>
  <si>
    <t>P</t>
  </si>
  <si>
    <t>&lt;</t>
  </si>
  <si>
    <t>F</t>
  </si>
  <si>
    <t>f</t>
  </si>
  <si>
    <t>&amp;</t>
  </si>
  <si>
    <t>M</t>
  </si>
  <si>
    <t>&gt;</t>
  </si>
  <si>
    <t>D</t>
  </si>
  <si>
    <t>^</t>
  </si>
  <si>
    <t>s</t>
  </si>
  <si>
    <t>+</t>
  </si>
  <si>
    <t>E</t>
  </si>
  <si>
    <t>V</t>
  </si>
  <si>
    <t>H</t>
  </si>
  <si>
    <t>L</t>
  </si>
  <si>
    <t>=</t>
  </si>
  <si>
    <t>$</t>
  </si>
  <si>
    <t>S</t>
  </si>
  <si>
    <t>~</t>
  </si>
  <si>
    <t>]</t>
  </si>
  <si>
    <t>[</t>
  </si>
  <si>
    <t>)</t>
  </si>
  <si>
    <t>(</t>
  </si>
  <si>
    <t>|</t>
  </si>
  <si>
    <t>{</t>
  </si>
  <si>
    <t>?</t>
  </si>
  <si>
    <t>!</t>
  </si>
  <si>
    <t>B</t>
  </si>
  <si>
    <t>C</t>
  </si>
  <si>
    <t>c</t>
  </si>
  <si>
    <t>}</t>
  </si>
  <si>
    <t>o</t>
  </si>
  <si>
    <t>:</t>
  </si>
  <si>
    <t>;</t>
  </si>
  <si>
    <t>'</t>
  </si>
  <si>
    <t>potion of sleep</t>
  </si>
  <si>
    <t>potion of healing</t>
  </si>
  <si>
    <t>potion of raise level</t>
  </si>
  <si>
    <t>potion of increase ability</t>
  </si>
  <si>
    <t>potion of wisdom</t>
  </si>
  <si>
    <t>potion of strength</t>
  </si>
  <si>
    <t>potion of raise charisma</t>
  </si>
  <si>
    <t>potion of dizziness</t>
  </si>
  <si>
    <t>potion of learning</t>
  </si>
  <si>
    <t>potion of object detection</t>
  </si>
  <si>
    <t>potion of monster detection</t>
  </si>
  <si>
    <t>potion of forgetfulness</t>
  </si>
  <si>
    <t>potion of water</t>
  </si>
  <si>
    <t>potion of blindness</t>
  </si>
  <si>
    <t>potion of confusion</t>
  </si>
  <si>
    <t>potion of heroism</t>
  </si>
  <si>
    <t>potion</t>
  </si>
  <si>
    <t>of</t>
  </si>
  <si>
    <t>sleep</t>
  </si>
  <si>
    <t>healing</t>
  </si>
  <si>
    <t>wisdom</t>
  </si>
  <si>
    <t>strength</t>
  </si>
  <si>
    <t>dizziness</t>
  </si>
  <si>
    <t>learning</t>
  </si>
  <si>
    <t>forgetfulness</t>
  </si>
  <si>
    <t>water</t>
  </si>
  <si>
    <t>blindness</t>
  </si>
  <si>
    <t>confusion</t>
  </si>
  <si>
    <t>heroism</t>
  </si>
  <si>
    <t>raise_level</t>
  </si>
  <si>
    <t>increase_ability</t>
  </si>
  <si>
    <t>raise_charisma</t>
  </si>
  <si>
    <t>object_detection</t>
  </si>
  <si>
    <t>monster_detection</t>
  </si>
  <si>
    <t>poison</t>
  </si>
  <si>
    <t>scroll</t>
  </si>
  <si>
    <t>enlightenment</t>
  </si>
  <si>
    <t>teleportation</t>
  </si>
  <si>
    <t>stealth</t>
  </si>
  <si>
    <t>giant_strength</t>
  </si>
  <si>
    <t>treasure_finding</t>
  </si>
  <si>
    <t>enchant_armor</t>
  </si>
  <si>
    <t>create_artifact</t>
  </si>
  <si>
    <t>time_warp</t>
  </si>
  <si>
    <t>expanded_awareness</t>
  </si>
  <si>
    <t>monster_healing</t>
  </si>
  <si>
    <t>undead_protection</t>
  </si>
  <si>
    <t>magic_mapping</t>
  </si>
  <si>
    <t>create_monster</t>
  </si>
  <si>
    <t>aggravate_monsters</t>
  </si>
  <si>
    <t>haste_monsters</t>
  </si>
  <si>
    <t>spirit_protection</t>
  </si>
  <si>
    <t>gem_perfection</t>
  </si>
  <si>
    <t>hold_monsters</t>
  </si>
  <si>
    <t>spell_extension</t>
  </si>
  <si>
    <t>sturdiness</t>
  </si>
  <si>
    <t>fire_resistance</t>
  </si>
  <si>
    <t>instant_healing</t>
  </si>
  <si>
    <t>see_invisible</t>
  </si>
  <si>
    <t>enchant_weapon</t>
  </si>
  <si>
    <t>blank_papper</t>
  </si>
  <si>
    <t>giant strength</t>
  </si>
  <si>
    <t>fire resistance</t>
  </si>
  <si>
    <t>treasure finding</t>
  </si>
  <si>
    <t>instant healing</t>
  </si>
  <si>
    <t>see invisible</t>
  </si>
  <si>
    <t>enchant armor</t>
  </si>
  <si>
    <t>enchant weapon</t>
  </si>
  <si>
    <t>blank papper</t>
  </si>
  <si>
    <t>create monster</t>
  </si>
  <si>
    <t>create artifact</t>
  </si>
  <si>
    <t>aggravate monsters</t>
  </si>
  <si>
    <t>time warp</t>
  </si>
  <si>
    <t>expanded awareness</t>
  </si>
  <si>
    <t>haste monsters</t>
  </si>
  <si>
    <t>monster healing</t>
  </si>
  <si>
    <t>spirit protection</t>
  </si>
  <si>
    <t>undead protection</t>
  </si>
  <si>
    <t>magic mapping</t>
  </si>
  <si>
    <t>hold monsters</t>
  </si>
  <si>
    <t>gem perfection</t>
  </si>
  <si>
    <t>spell extension</t>
  </si>
  <si>
    <t>!!!!!!!???????????????????</t>
  </si>
  <si>
    <t>potion of sturdiness</t>
  </si>
  <si>
    <t>potion of giant strength</t>
  </si>
  <si>
    <t>potion of fire resistance</t>
  </si>
  <si>
    <t>potion of treasure finding</t>
  </si>
  <si>
    <t>potion of instant healing</t>
  </si>
  <si>
    <t>potion of poison</t>
  </si>
  <si>
    <t>potion of see invisible</t>
  </si>
  <si>
    <t>scroll of enchant armor</t>
  </si>
  <si>
    <t>scroll of enchant weapon</t>
  </si>
  <si>
    <t>scroll of enlightenment</t>
  </si>
  <si>
    <t>scroll of blank papper</t>
  </si>
  <si>
    <t>scroll of create monster</t>
  </si>
  <si>
    <t>scroll of create artifact</t>
  </si>
  <si>
    <t>scroll of aggravate monsters</t>
  </si>
  <si>
    <t>scroll of time warp</t>
  </si>
  <si>
    <t>scroll of teleportation</t>
  </si>
  <si>
    <t>scroll of expanded awareness</t>
  </si>
  <si>
    <t>scroll of haste monsters</t>
  </si>
  <si>
    <t>scroll of monster healing</t>
  </si>
  <si>
    <t>scroll of spirit protection</t>
  </si>
  <si>
    <t>scroll of undead protection</t>
  </si>
  <si>
    <t>scroll of stealth</t>
  </si>
  <si>
    <t>scroll of magic mapping</t>
  </si>
  <si>
    <t>scroll of hold monsters</t>
  </si>
  <si>
    <t>scroll of gem perfection</t>
  </si>
  <si>
    <t>scroll of spell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</si>
</sst>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1057-26E2-4195-9205-D7CC93348A47}">
  <dimension ref="A1:R119"/>
  <sheetViews>
    <sheetView tabSelected="1" topLeftCell="A32" workbookViewId="0">
      <selection activeCell="B94" sqref="B94:B119"/>
    </sheetView>
  </sheetViews>
  <sheetFormatPr defaultRowHeight="14.4" x14ac:dyDescent="0.3"/>
  <cols>
    <col min="4" max="4" width="25.5546875" customWidth="1"/>
    <col min="12" max="12" width="25.109375" bestFit="1" customWidth="1"/>
    <col min="13" max="14" width="25.109375" customWidth="1"/>
  </cols>
  <sheetData>
    <row r="1" spans="1:18" x14ac:dyDescent="0.3">
      <c r="D1" t="s">
        <v>0</v>
      </c>
    </row>
    <row r="2" spans="1:18" x14ac:dyDescent="0.3">
      <c r="A2" t="s">
        <v>1</v>
      </c>
      <c r="B2">
        <f>C2-1</f>
        <v>0</v>
      </c>
      <c r="C2">
        <v>1</v>
      </c>
      <c r="D2" t="s">
        <v>1</v>
      </c>
      <c r="M2" t="s">
        <v>116</v>
      </c>
    </row>
    <row r="3" spans="1:18" x14ac:dyDescent="0.3">
      <c r="A3" t="s">
        <v>254</v>
      </c>
      <c r="B3">
        <f t="shared" ref="B3:B66" si="0">C3-1</f>
        <v>1</v>
      </c>
      <c r="C3">
        <v>2</v>
      </c>
      <c r="D3" t="s">
        <v>2</v>
      </c>
      <c r="M3" t="s">
        <v>72</v>
      </c>
      <c r="O3" t="s">
        <v>73</v>
      </c>
      <c r="Q3">
        <v>1</v>
      </c>
      <c r="R3" t="s">
        <v>1</v>
      </c>
    </row>
    <row r="4" spans="1:18" x14ac:dyDescent="0.3">
      <c r="A4" t="s">
        <v>255</v>
      </c>
      <c r="B4">
        <f t="shared" si="0"/>
        <v>2</v>
      </c>
      <c r="C4">
        <v>3</v>
      </c>
      <c r="D4" t="s">
        <v>3</v>
      </c>
      <c r="M4" t="s">
        <v>74</v>
      </c>
      <c r="O4" t="s">
        <v>75</v>
      </c>
      <c r="Q4">
        <v>2</v>
      </c>
      <c r="R4" t="s">
        <v>2</v>
      </c>
    </row>
    <row r="5" spans="1:18" x14ac:dyDescent="0.3">
      <c r="A5" t="s">
        <v>256</v>
      </c>
      <c r="B5">
        <f t="shared" si="0"/>
        <v>3</v>
      </c>
      <c r="C5">
        <v>4</v>
      </c>
      <c r="D5" t="s">
        <v>4</v>
      </c>
      <c r="M5" t="s">
        <v>76</v>
      </c>
      <c r="O5" t="s">
        <v>77</v>
      </c>
      <c r="Q5">
        <v>3</v>
      </c>
      <c r="R5" t="s">
        <v>3</v>
      </c>
    </row>
    <row r="6" spans="1:18" x14ac:dyDescent="0.3">
      <c r="A6" t="s">
        <v>257</v>
      </c>
      <c r="B6">
        <f t="shared" si="0"/>
        <v>4</v>
      </c>
      <c r="C6">
        <v>5</v>
      </c>
      <c r="D6" t="s">
        <v>5</v>
      </c>
      <c r="M6" t="s">
        <v>78</v>
      </c>
      <c r="O6" t="s">
        <v>79</v>
      </c>
      <c r="Q6">
        <v>4</v>
      </c>
      <c r="R6" t="s">
        <v>4</v>
      </c>
    </row>
    <row r="7" spans="1:18" x14ac:dyDescent="0.3">
      <c r="A7" t="s">
        <v>258</v>
      </c>
      <c r="B7">
        <f t="shared" si="0"/>
        <v>5</v>
      </c>
      <c r="C7">
        <v>6</v>
      </c>
      <c r="D7" t="s">
        <v>6</v>
      </c>
      <c r="M7" t="s">
        <v>80</v>
      </c>
      <c r="O7" t="s">
        <v>81</v>
      </c>
      <c r="Q7">
        <v>5</v>
      </c>
      <c r="R7" t="s">
        <v>5</v>
      </c>
    </row>
    <row r="8" spans="1:18" x14ac:dyDescent="0.3">
      <c r="A8" t="s">
        <v>259</v>
      </c>
      <c r="B8">
        <f t="shared" si="0"/>
        <v>6</v>
      </c>
      <c r="C8">
        <v>7</v>
      </c>
      <c r="D8" t="s">
        <v>7</v>
      </c>
      <c r="M8" t="s">
        <v>82</v>
      </c>
      <c r="O8" t="s">
        <v>83</v>
      </c>
      <c r="Q8">
        <v>6</v>
      </c>
      <c r="R8" t="s">
        <v>6</v>
      </c>
    </row>
    <row r="9" spans="1:18" x14ac:dyDescent="0.3">
      <c r="A9" t="s">
        <v>260</v>
      </c>
      <c r="B9">
        <f t="shared" si="0"/>
        <v>7</v>
      </c>
      <c r="C9">
        <v>8</v>
      </c>
      <c r="D9" t="s">
        <v>8</v>
      </c>
      <c r="M9" t="s">
        <v>84</v>
      </c>
      <c r="O9" t="s">
        <v>85</v>
      </c>
      <c r="Q9">
        <v>7</v>
      </c>
      <c r="R9" t="s">
        <v>7</v>
      </c>
    </row>
    <row r="10" spans="1:18" x14ac:dyDescent="0.3">
      <c r="A10" t="s">
        <v>261</v>
      </c>
      <c r="B10">
        <f t="shared" si="0"/>
        <v>8</v>
      </c>
      <c r="C10">
        <v>9</v>
      </c>
      <c r="D10" t="s">
        <v>9</v>
      </c>
      <c r="M10" t="s">
        <v>102</v>
      </c>
      <c r="Q10">
        <v>8</v>
      </c>
      <c r="R10" t="s">
        <v>8</v>
      </c>
    </row>
    <row r="11" spans="1:18" x14ac:dyDescent="0.3">
      <c r="A11" t="s">
        <v>262</v>
      </c>
      <c r="B11">
        <f t="shared" si="0"/>
        <v>9</v>
      </c>
      <c r="C11">
        <v>10</v>
      </c>
      <c r="D11" t="s">
        <v>10</v>
      </c>
      <c r="M11" t="s">
        <v>86</v>
      </c>
      <c r="O11" t="s">
        <v>87</v>
      </c>
      <c r="Q11">
        <v>9</v>
      </c>
      <c r="R11" t="s">
        <v>9</v>
      </c>
    </row>
    <row r="12" spans="1:18" x14ac:dyDescent="0.3">
      <c r="A12" t="s">
        <v>263</v>
      </c>
      <c r="B12">
        <f t="shared" si="0"/>
        <v>10</v>
      </c>
      <c r="C12">
        <v>11</v>
      </c>
      <c r="D12" t="s">
        <v>11</v>
      </c>
      <c r="M12" t="s">
        <v>92</v>
      </c>
      <c r="O12" t="s">
        <v>89</v>
      </c>
      <c r="Q12">
        <v>10</v>
      </c>
      <c r="R12" t="s">
        <v>10</v>
      </c>
    </row>
    <row r="13" spans="1:18" x14ac:dyDescent="0.3">
      <c r="A13" t="s">
        <v>264</v>
      </c>
      <c r="B13">
        <f t="shared" si="0"/>
        <v>11</v>
      </c>
      <c r="C13">
        <v>12</v>
      </c>
      <c r="D13" t="s">
        <v>12</v>
      </c>
      <c r="M13" t="s">
        <v>96</v>
      </c>
      <c r="O13" t="s">
        <v>91</v>
      </c>
      <c r="Q13">
        <v>11</v>
      </c>
      <c r="R13" t="s">
        <v>11</v>
      </c>
    </row>
    <row r="14" spans="1:18" x14ac:dyDescent="0.3">
      <c r="A14" t="s">
        <v>257</v>
      </c>
      <c r="B14">
        <f t="shared" si="0"/>
        <v>12</v>
      </c>
      <c r="C14">
        <v>13</v>
      </c>
      <c r="D14" t="s">
        <v>13</v>
      </c>
      <c r="M14" t="s">
        <v>108</v>
      </c>
      <c r="O14" t="s">
        <v>93</v>
      </c>
      <c r="Q14">
        <v>12</v>
      </c>
      <c r="R14" t="s">
        <v>12</v>
      </c>
    </row>
    <row r="15" spans="1:18" x14ac:dyDescent="0.3">
      <c r="A15" t="s">
        <v>265</v>
      </c>
      <c r="B15">
        <f t="shared" si="0"/>
        <v>13</v>
      </c>
      <c r="C15">
        <v>14</v>
      </c>
      <c r="D15" t="s">
        <v>14</v>
      </c>
      <c r="M15" t="s">
        <v>110</v>
      </c>
      <c r="O15" t="s">
        <v>95</v>
      </c>
      <c r="Q15">
        <v>13</v>
      </c>
      <c r="R15" t="s">
        <v>13</v>
      </c>
    </row>
    <row r="16" spans="1:18" x14ac:dyDescent="0.3">
      <c r="A16" t="s">
        <v>266</v>
      </c>
      <c r="B16">
        <f t="shared" si="0"/>
        <v>14</v>
      </c>
      <c r="C16">
        <v>15</v>
      </c>
      <c r="D16" t="s">
        <v>15</v>
      </c>
      <c r="M16" t="s">
        <v>118</v>
      </c>
      <c r="O16" t="s">
        <v>93</v>
      </c>
      <c r="Q16">
        <v>14</v>
      </c>
      <c r="R16" t="s">
        <v>14</v>
      </c>
    </row>
    <row r="17" spans="1:18" x14ac:dyDescent="0.3">
      <c r="A17" t="s">
        <v>266</v>
      </c>
      <c r="B17">
        <f t="shared" si="0"/>
        <v>15</v>
      </c>
      <c r="C17">
        <v>16</v>
      </c>
      <c r="D17" t="s">
        <v>15</v>
      </c>
      <c r="M17" t="s">
        <v>120</v>
      </c>
      <c r="N17" t="s">
        <v>97</v>
      </c>
      <c r="O17" t="s">
        <v>93</v>
      </c>
      <c r="Q17">
        <v>15</v>
      </c>
      <c r="R17" t="s">
        <v>15</v>
      </c>
    </row>
    <row r="18" spans="1:18" x14ac:dyDescent="0.3">
      <c r="A18" t="s">
        <v>266</v>
      </c>
      <c r="B18">
        <f t="shared" si="0"/>
        <v>16</v>
      </c>
      <c r="C18">
        <v>17</v>
      </c>
      <c r="D18" t="s">
        <v>16</v>
      </c>
      <c r="M18" t="s">
        <v>222</v>
      </c>
      <c r="O18" t="s">
        <v>99</v>
      </c>
      <c r="Q18">
        <v>16</v>
      </c>
      <c r="R18" t="s">
        <v>15</v>
      </c>
    </row>
    <row r="19" spans="1:18" x14ac:dyDescent="0.3">
      <c r="A19" t="s">
        <v>266</v>
      </c>
      <c r="B19">
        <f t="shared" si="0"/>
        <v>17</v>
      </c>
      <c r="C19">
        <v>18</v>
      </c>
      <c r="D19" t="s">
        <v>16</v>
      </c>
      <c r="M19" t="s">
        <v>220</v>
      </c>
      <c r="O19" t="s">
        <v>101</v>
      </c>
      <c r="Q19">
        <v>17</v>
      </c>
      <c r="R19" t="s">
        <v>16</v>
      </c>
    </row>
    <row r="20" spans="1:18" x14ac:dyDescent="0.3">
      <c r="A20" t="s">
        <v>266</v>
      </c>
      <c r="B20">
        <f t="shared" si="0"/>
        <v>18</v>
      </c>
      <c r="C20">
        <v>19</v>
      </c>
      <c r="D20" t="s">
        <v>17</v>
      </c>
      <c r="M20" t="s">
        <v>224</v>
      </c>
      <c r="O20" t="s">
        <v>103</v>
      </c>
      <c r="Q20">
        <v>18</v>
      </c>
      <c r="R20" t="s">
        <v>16</v>
      </c>
    </row>
    <row r="21" spans="1:18" x14ac:dyDescent="0.3">
      <c r="A21" t="s">
        <v>266</v>
      </c>
      <c r="B21">
        <f t="shared" si="0"/>
        <v>19</v>
      </c>
      <c r="C21">
        <v>20</v>
      </c>
      <c r="D21" t="s">
        <v>17</v>
      </c>
      <c r="M21" t="s">
        <v>226</v>
      </c>
      <c r="O21" t="s">
        <v>105</v>
      </c>
      <c r="Q21">
        <v>19</v>
      </c>
      <c r="R21" t="s">
        <v>17</v>
      </c>
    </row>
    <row r="22" spans="1:18" x14ac:dyDescent="0.3">
      <c r="A22" t="s">
        <v>266</v>
      </c>
      <c r="B22">
        <f t="shared" si="0"/>
        <v>20</v>
      </c>
      <c r="C22">
        <v>21</v>
      </c>
      <c r="D22" t="s">
        <v>18</v>
      </c>
      <c r="M22" t="s">
        <v>88</v>
      </c>
      <c r="O22" t="s">
        <v>107</v>
      </c>
      <c r="Q22">
        <v>20</v>
      </c>
      <c r="R22" t="s">
        <v>17</v>
      </c>
    </row>
    <row r="23" spans="1:18" x14ac:dyDescent="0.3">
      <c r="A23" t="s">
        <v>266</v>
      </c>
      <c r="B23">
        <f t="shared" si="0"/>
        <v>21</v>
      </c>
      <c r="C23">
        <v>22</v>
      </c>
      <c r="D23" t="s">
        <v>18</v>
      </c>
      <c r="M23" t="s">
        <v>230</v>
      </c>
      <c r="N23" t="s">
        <v>104</v>
      </c>
      <c r="O23" t="s">
        <v>109</v>
      </c>
      <c r="Q23">
        <v>21</v>
      </c>
      <c r="R23" t="s">
        <v>18</v>
      </c>
    </row>
    <row r="24" spans="1:18" x14ac:dyDescent="0.3">
      <c r="A24" t="s">
        <v>267</v>
      </c>
      <c r="B24">
        <f t="shared" si="0"/>
        <v>22</v>
      </c>
      <c r="C24">
        <v>23</v>
      </c>
      <c r="D24" t="s">
        <v>19</v>
      </c>
      <c r="M24" t="s">
        <v>234</v>
      </c>
      <c r="N24" t="s">
        <v>106</v>
      </c>
      <c r="O24" t="s">
        <v>111</v>
      </c>
      <c r="Q24">
        <v>22</v>
      </c>
      <c r="R24" t="s">
        <v>18</v>
      </c>
    </row>
    <row r="25" spans="1:18" x14ac:dyDescent="0.3">
      <c r="A25" t="s">
        <v>268</v>
      </c>
      <c r="B25">
        <f t="shared" si="0"/>
        <v>23</v>
      </c>
      <c r="C25">
        <v>24</v>
      </c>
      <c r="D25" t="s">
        <v>20</v>
      </c>
      <c r="M25" t="s">
        <v>90</v>
      </c>
      <c r="N25" t="s">
        <v>112</v>
      </c>
      <c r="O25" t="s">
        <v>113</v>
      </c>
      <c r="Q25">
        <v>23</v>
      </c>
      <c r="R25" t="s">
        <v>19</v>
      </c>
    </row>
    <row r="26" spans="1:18" x14ac:dyDescent="0.3">
      <c r="A26" t="s">
        <v>269</v>
      </c>
      <c r="B26">
        <f t="shared" si="0"/>
        <v>24</v>
      </c>
      <c r="C26">
        <v>25</v>
      </c>
      <c r="D26" t="s">
        <v>21</v>
      </c>
      <c r="M26" t="s">
        <v>209</v>
      </c>
      <c r="N26" t="s">
        <v>114</v>
      </c>
      <c r="O26" t="s">
        <v>115</v>
      </c>
      <c r="Q26">
        <v>24</v>
      </c>
      <c r="R26" t="s">
        <v>20</v>
      </c>
    </row>
    <row r="27" spans="1:18" x14ac:dyDescent="0.3">
      <c r="A27" t="s">
        <v>270</v>
      </c>
      <c r="B27">
        <f t="shared" si="0"/>
        <v>25</v>
      </c>
      <c r="C27">
        <v>26</v>
      </c>
      <c r="D27" t="s">
        <v>22</v>
      </c>
      <c r="M27" t="s">
        <v>210</v>
      </c>
      <c r="N27" t="s">
        <v>142</v>
      </c>
      <c r="O27" t="s">
        <v>117</v>
      </c>
      <c r="Q27">
        <v>25</v>
      </c>
      <c r="R27" t="s">
        <v>21</v>
      </c>
    </row>
    <row r="28" spans="1:18" x14ac:dyDescent="0.3">
      <c r="A28" t="s">
        <v>271</v>
      </c>
      <c r="B28">
        <f t="shared" si="0"/>
        <v>26</v>
      </c>
      <c r="C28">
        <v>27</v>
      </c>
      <c r="D28" t="s">
        <v>23</v>
      </c>
      <c r="M28" t="s">
        <v>214</v>
      </c>
      <c r="O28" t="s">
        <v>119</v>
      </c>
      <c r="Q28">
        <v>26</v>
      </c>
      <c r="R28" t="s">
        <v>22</v>
      </c>
    </row>
    <row r="29" spans="1:18" x14ac:dyDescent="0.3">
      <c r="A29" t="s">
        <v>272</v>
      </c>
      <c r="B29">
        <f t="shared" si="0"/>
        <v>27</v>
      </c>
      <c r="C29">
        <v>28</v>
      </c>
      <c r="D29" t="s">
        <v>24</v>
      </c>
      <c r="M29" t="s">
        <v>238</v>
      </c>
      <c r="O29" t="s">
        <v>121</v>
      </c>
      <c r="Q29">
        <v>27</v>
      </c>
      <c r="R29" t="s">
        <v>23</v>
      </c>
    </row>
    <row r="30" spans="1:18" x14ac:dyDescent="0.3">
      <c r="A30" t="s">
        <v>273</v>
      </c>
      <c r="B30">
        <f t="shared" si="0"/>
        <v>28</v>
      </c>
      <c r="C30">
        <v>29</v>
      </c>
      <c r="D30" t="s">
        <v>25</v>
      </c>
      <c r="M30" t="s">
        <v>94</v>
      </c>
      <c r="Q30">
        <v>28</v>
      </c>
      <c r="R30" t="s">
        <v>24</v>
      </c>
    </row>
    <row r="31" spans="1:18" x14ac:dyDescent="0.3">
      <c r="A31" t="s">
        <v>274</v>
      </c>
      <c r="B31">
        <f t="shared" si="0"/>
        <v>29</v>
      </c>
      <c r="C31">
        <v>30</v>
      </c>
      <c r="D31" t="s">
        <v>26</v>
      </c>
      <c r="M31" t="s">
        <v>100</v>
      </c>
      <c r="O31" t="s">
        <v>123</v>
      </c>
      <c r="Q31">
        <v>29</v>
      </c>
      <c r="R31" t="s">
        <v>25</v>
      </c>
    </row>
    <row r="32" spans="1:18" x14ac:dyDescent="0.3">
      <c r="A32" t="s">
        <v>274</v>
      </c>
      <c r="B32">
        <f t="shared" si="0"/>
        <v>30</v>
      </c>
      <c r="C32">
        <v>31</v>
      </c>
      <c r="D32" t="s">
        <v>27</v>
      </c>
      <c r="M32" t="s">
        <v>98</v>
      </c>
      <c r="Q32">
        <v>30</v>
      </c>
      <c r="R32" t="s">
        <v>26</v>
      </c>
    </row>
    <row r="33" spans="1:18" x14ac:dyDescent="0.3">
      <c r="A33" t="s">
        <v>275</v>
      </c>
      <c r="B33">
        <f t="shared" si="0"/>
        <v>31</v>
      </c>
      <c r="C33">
        <v>32</v>
      </c>
      <c r="D33" t="s">
        <v>28</v>
      </c>
      <c r="M33" t="s">
        <v>228</v>
      </c>
      <c r="O33" t="s">
        <v>125</v>
      </c>
      <c r="Q33">
        <v>31</v>
      </c>
      <c r="R33" t="s">
        <v>27</v>
      </c>
    </row>
    <row r="34" spans="1:18" x14ac:dyDescent="0.3">
      <c r="A34" t="s">
        <v>276</v>
      </c>
      <c r="B34">
        <f t="shared" si="0"/>
        <v>32</v>
      </c>
      <c r="C34">
        <v>33</v>
      </c>
      <c r="D34" t="s">
        <v>29</v>
      </c>
      <c r="M34" t="s">
        <v>122</v>
      </c>
      <c r="O34" t="s">
        <v>127</v>
      </c>
      <c r="Q34">
        <v>32</v>
      </c>
      <c r="R34" t="s">
        <v>28</v>
      </c>
    </row>
    <row r="35" spans="1:18" x14ac:dyDescent="0.3">
      <c r="A35" t="s">
        <v>277</v>
      </c>
      <c r="B35">
        <f t="shared" si="0"/>
        <v>33</v>
      </c>
      <c r="C35">
        <v>34</v>
      </c>
      <c r="D35" t="s">
        <v>30</v>
      </c>
      <c r="M35" t="s">
        <v>124</v>
      </c>
      <c r="O35" t="s">
        <v>129</v>
      </c>
      <c r="Q35">
        <v>33</v>
      </c>
      <c r="R35" t="s">
        <v>29</v>
      </c>
    </row>
    <row r="36" spans="1:18" x14ac:dyDescent="0.3">
      <c r="A36" t="s">
        <v>278</v>
      </c>
      <c r="B36">
        <f t="shared" si="0"/>
        <v>34</v>
      </c>
      <c r="C36">
        <v>35</v>
      </c>
      <c r="D36" t="s">
        <v>31</v>
      </c>
      <c r="M36" t="s">
        <v>126</v>
      </c>
      <c r="O36" t="s">
        <v>131</v>
      </c>
      <c r="Q36">
        <v>34</v>
      </c>
      <c r="R36" t="s">
        <v>30</v>
      </c>
    </row>
    <row r="37" spans="1:18" x14ac:dyDescent="0.3">
      <c r="A37" t="s">
        <v>278</v>
      </c>
      <c r="B37">
        <f t="shared" si="0"/>
        <v>35</v>
      </c>
      <c r="C37">
        <v>36</v>
      </c>
      <c r="D37" t="s">
        <v>32</v>
      </c>
      <c r="M37" t="s">
        <v>128</v>
      </c>
      <c r="O37" t="s">
        <v>133</v>
      </c>
      <c r="Q37">
        <v>35</v>
      </c>
      <c r="R37" t="s">
        <v>31</v>
      </c>
    </row>
    <row r="38" spans="1:18" x14ac:dyDescent="0.3">
      <c r="A38" t="s">
        <v>278</v>
      </c>
      <c r="B38">
        <f t="shared" si="0"/>
        <v>36</v>
      </c>
      <c r="C38">
        <v>37</v>
      </c>
      <c r="D38" t="s">
        <v>33</v>
      </c>
      <c r="M38" t="s">
        <v>130</v>
      </c>
      <c r="O38" t="s">
        <v>135</v>
      </c>
      <c r="Q38">
        <v>36</v>
      </c>
      <c r="R38" t="s">
        <v>32</v>
      </c>
    </row>
    <row r="39" spans="1:18" x14ac:dyDescent="0.3">
      <c r="A39" t="s">
        <v>278</v>
      </c>
      <c r="B39">
        <f t="shared" si="0"/>
        <v>37</v>
      </c>
      <c r="C39">
        <v>38</v>
      </c>
      <c r="D39" t="s">
        <v>34</v>
      </c>
      <c r="M39" t="s">
        <v>132</v>
      </c>
      <c r="O39" t="s">
        <v>137</v>
      </c>
      <c r="Q39">
        <v>37</v>
      </c>
      <c r="R39" t="s">
        <v>33</v>
      </c>
    </row>
    <row r="40" spans="1:18" x14ac:dyDescent="0.3">
      <c r="A40" t="s">
        <v>277</v>
      </c>
      <c r="B40">
        <f t="shared" si="0"/>
        <v>38</v>
      </c>
      <c r="C40">
        <v>39</v>
      </c>
      <c r="D40" t="s">
        <v>35</v>
      </c>
      <c r="M40" t="s">
        <v>134</v>
      </c>
      <c r="O40" t="s">
        <v>139</v>
      </c>
      <c r="Q40">
        <v>38</v>
      </c>
      <c r="R40" t="s">
        <v>34</v>
      </c>
    </row>
    <row r="41" spans="1:18" x14ac:dyDescent="0.3">
      <c r="A41" t="s">
        <v>277</v>
      </c>
      <c r="B41">
        <f t="shared" si="0"/>
        <v>39</v>
      </c>
      <c r="C41">
        <v>40</v>
      </c>
      <c r="D41" t="s">
        <v>36</v>
      </c>
      <c r="M41" t="s">
        <v>136</v>
      </c>
      <c r="O41" t="s">
        <v>141</v>
      </c>
      <c r="Q41">
        <v>39</v>
      </c>
      <c r="R41" t="s">
        <v>35</v>
      </c>
    </row>
    <row r="42" spans="1:18" x14ac:dyDescent="0.3">
      <c r="A42" t="s">
        <v>277</v>
      </c>
      <c r="B42">
        <f t="shared" si="0"/>
        <v>40</v>
      </c>
      <c r="C42">
        <v>41</v>
      </c>
      <c r="D42" t="s">
        <v>37</v>
      </c>
      <c r="M42" t="s">
        <v>138</v>
      </c>
      <c r="O42" t="s">
        <v>143</v>
      </c>
      <c r="Q42">
        <v>40</v>
      </c>
      <c r="R42" t="s">
        <v>36</v>
      </c>
    </row>
    <row r="43" spans="1:18" x14ac:dyDescent="0.3">
      <c r="A43" t="s">
        <v>278</v>
      </c>
      <c r="B43">
        <f t="shared" si="0"/>
        <v>41</v>
      </c>
      <c r="C43">
        <v>42</v>
      </c>
      <c r="D43" t="s">
        <v>38</v>
      </c>
      <c r="M43" t="s">
        <v>140</v>
      </c>
      <c r="Q43">
        <v>41</v>
      </c>
      <c r="R43" t="s">
        <v>37</v>
      </c>
    </row>
    <row r="44" spans="1:18" x14ac:dyDescent="0.3">
      <c r="A44" t="s">
        <v>279</v>
      </c>
      <c r="B44">
        <f t="shared" si="0"/>
        <v>42</v>
      </c>
      <c r="C44">
        <v>43</v>
      </c>
      <c r="D44" t="s">
        <v>39</v>
      </c>
      <c r="M44" t="s">
        <v>144</v>
      </c>
      <c r="O44" t="s">
        <v>145</v>
      </c>
      <c r="Q44">
        <v>42</v>
      </c>
      <c r="R44" t="s">
        <v>38</v>
      </c>
    </row>
    <row r="45" spans="1:18" x14ac:dyDescent="0.3">
      <c r="A45" t="s">
        <v>279</v>
      </c>
      <c r="B45">
        <f t="shared" si="0"/>
        <v>43</v>
      </c>
      <c r="C45">
        <v>44</v>
      </c>
      <c r="D45" t="s">
        <v>40</v>
      </c>
      <c r="M45" t="s">
        <v>146</v>
      </c>
      <c r="O45" t="s">
        <v>147</v>
      </c>
      <c r="Q45">
        <v>43</v>
      </c>
      <c r="R45" t="s">
        <v>39</v>
      </c>
    </row>
    <row r="46" spans="1:18" x14ac:dyDescent="0.3">
      <c r="A46" t="s">
        <v>279</v>
      </c>
      <c r="B46">
        <f t="shared" si="0"/>
        <v>44</v>
      </c>
      <c r="C46">
        <v>45</v>
      </c>
      <c r="D46" t="s">
        <v>41</v>
      </c>
      <c r="M46" t="s">
        <v>148</v>
      </c>
      <c r="O46" t="s">
        <v>95</v>
      </c>
      <c r="Q46">
        <v>44</v>
      </c>
      <c r="R46" t="s">
        <v>40</v>
      </c>
    </row>
    <row r="47" spans="1:18" x14ac:dyDescent="0.3">
      <c r="A47" t="s">
        <v>280</v>
      </c>
      <c r="B47">
        <f t="shared" si="0"/>
        <v>45</v>
      </c>
      <c r="C47">
        <v>46</v>
      </c>
      <c r="D47" t="s">
        <v>42</v>
      </c>
      <c r="M47" t="s">
        <v>149</v>
      </c>
      <c r="O47" t="s">
        <v>150</v>
      </c>
      <c r="Q47">
        <v>45</v>
      </c>
      <c r="R47" t="s">
        <v>41</v>
      </c>
    </row>
    <row r="48" spans="1:18" x14ac:dyDescent="0.3">
      <c r="A48" t="s">
        <v>280</v>
      </c>
      <c r="B48">
        <f t="shared" si="0"/>
        <v>46</v>
      </c>
      <c r="C48">
        <v>47</v>
      </c>
      <c r="D48" t="s">
        <v>43</v>
      </c>
      <c r="M48" t="s">
        <v>151</v>
      </c>
      <c r="O48" t="s">
        <v>152</v>
      </c>
      <c r="Q48">
        <v>46</v>
      </c>
      <c r="R48" t="s">
        <v>42</v>
      </c>
    </row>
    <row r="49" spans="1:18" x14ac:dyDescent="0.3">
      <c r="A49" t="s">
        <v>280</v>
      </c>
      <c r="B49">
        <f t="shared" si="0"/>
        <v>47</v>
      </c>
      <c r="C49">
        <v>48</v>
      </c>
      <c r="D49" t="s">
        <v>44</v>
      </c>
      <c r="M49" t="s">
        <v>153</v>
      </c>
      <c r="O49" t="s">
        <v>154</v>
      </c>
      <c r="Q49">
        <v>47</v>
      </c>
      <c r="R49" t="s">
        <v>43</v>
      </c>
    </row>
    <row r="50" spans="1:18" x14ac:dyDescent="0.3">
      <c r="A50" t="s">
        <v>279</v>
      </c>
      <c r="B50">
        <f t="shared" si="0"/>
        <v>48</v>
      </c>
      <c r="C50">
        <v>49</v>
      </c>
      <c r="D50" t="s">
        <v>45</v>
      </c>
      <c r="M50" t="s">
        <v>155</v>
      </c>
      <c r="O50" t="s">
        <v>156</v>
      </c>
      <c r="Q50">
        <v>48</v>
      </c>
      <c r="R50" t="s">
        <v>44</v>
      </c>
    </row>
    <row r="51" spans="1:18" x14ac:dyDescent="0.3">
      <c r="A51" t="s">
        <v>279</v>
      </c>
      <c r="B51">
        <f t="shared" si="0"/>
        <v>49</v>
      </c>
      <c r="C51">
        <v>50</v>
      </c>
      <c r="D51" t="s">
        <v>46</v>
      </c>
      <c r="M51" t="s">
        <v>157</v>
      </c>
      <c r="O51" t="s">
        <v>158</v>
      </c>
      <c r="Q51">
        <v>49</v>
      </c>
      <c r="R51" t="s">
        <v>45</v>
      </c>
    </row>
    <row r="52" spans="1:18" x14ac:dyDescent="0.3">
      <c r="A52" t="s">
        <v>280</v>
      </c>
      <c r="B52">
        <f t="shared" si="0"/>
        <v>50</v>
      </c>
      <c r="C52">
        <v>51</v>
      </c>
      <c r="D52" t="s">
        <v>47</v>
      </c>
      <c r="M52" t="s">
        <v>159</v>
      </c>
      <c r="O52" t="s">
        <v>160</v>
      </c>
      <c r="Q52">
        <v>50</v>
      </c>
      <c r="R52" t="s">
        <v>46</v>
      </c>
    </row>
    <row r="53" spans="1:18" x14ac:dyDescent="0.3">
      <c r="A53" t="s">
        <v>280</v>
      </c>
      <c r="B53">
        <f t="shared" si="0"/>
        <v>51</v>
      </c>
      <c r="C53">
        <v>52</v>
      </c>
      <c r="D53" t="s">
        <v>48</v>
      </c>
      <c r="M53" t="s">
        <v>161</v>
      </c>
      <c r="O53" t="s">
        <v>162</v>
      </c>
      <c r="Q53">
        <v>51</v>
      </c>
      <c r="R53" t="s">
        <v>47</v>
      </c>
    </row>
    <row r="54" spans="1:18" x14ac:dyDescent="0.3">
      <c r="A54" t="s">
        <v>281</v>
      </c>
      <c r="B54">
        <f t="shared" si="0"/>
        <v>52</v>
      </c>
      <c r="C54">
        <v>53</v>
      </c>
      <c r="D54" t="s">
        <v>49</v>
      </c>
      <c r="M54" t="s">
        <v>167</v>
      </c>
      <c r="N54" t="s">
        <v>163</v>
      </c>
      <c r="O54" t="s">
        <v>164</v>
      </c>
      <c r="Q54">
        <v>52</v>
      </c>
      <c r="R54" t="s">
        <v>48</v>
      </c>
    </row>
    <row r="55" spans="1:18" x14ac:dyDescent="0.3">
      <c r="A55" t="s">
        <v>281</v>
      </c>
      <c r="B55">
        <f t="shared" si="0"/>
        <v>53</v>
      </c>
      <c r="C55">
        <v>54</v>
      </c>
      <c r="D55" t="s">
        <v>50</v>
      </c>
      <c r="M55" t="s">
        <v>169</v>
      </c>
      <c r="N55" t="s">
        <v>165</v>
      </c>
      <c r="O55" t="s">
        <v>166</v>
      </c>
      <c r="Q55">
        <v>53</v>
      </c>
      <c r="R55" t="s">
        <v>49</v>
      </c>
    </row>
    <row r="56" spans="1:18" x14ac:dyDescent="0.3">
      <c r="A56" t="s">
        <v>281</v>
      </c>
      <c r="B56">
        <f t="shared" si="0"/>
        <v>54</v>
      </c>
      <c r="C56">
        <v>55</v>
      </c>
      <c r="D56" t="s">
        <v>51</v>
      </c>
      <c r="M56" t="s">
        <v>171</v>
      </c>
      <c r="Q56">
        <v>54</v>
      </c>
      <c r="R56" t="s">
        <v>50</v>
      </c>
    </row>
    <row r="57" spans="1:18" x14ac:dyDescent="0.3">
      <c r="A57" t="s">
        <v>281</v>
      </c>
      <c r="B57">
        <f t="shared" si="0"/>
        <v>55</v>
      </c>
      <c r="C57">
        <v>56</v>
      </c>
      <c r="D57" t="s">
        <v>52</v>
      </c>
      <c r="M57" t="s">
        <v>173</v>
      </c>
      <c r="O57" t="s">
        <v>168</v>
      </c>
      <c r="Q57">
        <v>55</v>
      </c>
      <c r="R57" t="s">
        <v>51</v>
      </c>
    </row>
    <row r="58" spans="1:18" x14ac:dyDescent="0.3">
      <c r="A58" t="s">
        <v>281</v>
      </c>
      <c r="B58">
        <f t="shared" si="0"/>
        <v>56</v>
      </c>
      <c r="C58">
        <v>57</v>
      </c>
      <c r="D58" t="s">
        <v>53</v>
      </c>
      <c r="M58" t="s">
        <v>174</v>
      </c>
      <c r="O58" t="s">
        <v>170</v>
      </c>
      <c r="Q58">
        <v>56</v>
      </c>
      <c r="R58" t="s">
        <v>52</v>
      </c>
    </row>
    <row r="59" spans="1:18" x14ac:dyDescent="0.3">
      <c r="A59" t="s">
        <v>281</v>
      </c>
      <c r="B59">
        <f t="shared" si="0"/>
        <v>57</v>
      </c>
      <c r="C59">
        <v>58</v>
      </c>
      <c r="D59" t="s">
        <v>54</v>
      </c>
      <c r="M59" t="s">
        <v>176</v>
      </c>
      <c r="O59" t="s">
        <v>172</v>
      </c>
      <c r="Q59">
        <v>57</v>
      </c>
      <c r="R59" t="s">
        <v>53</v>
      </c>
    </row>
    <row r="60" spans="1:18" x14ac:dyDescent="0.3">
      <c r="A60" t="s">
        <v>281</v>
      </c>
      <c r="B60">
        <f t="shared" si="0"/>
        <v>58</v>
      </c>
      <c r="C60">
        <v>59</v>
      </c>
      <c r="D60" t="s">
        <v>55</v>
      </c>
      <c r="M60" t="s">
        <v>178</v>
      </c>
      <c r="O60" t="s">
        <v>115</v>
      </c>
      <c r="Q60">
        <v>58</v>
      </c>
      <c r="R60" t="s">
        <v>54</v>
      </c>
    </row>
    <row r="61" spans="1:18" x14ac:dyDescent="0.3">
      <c r="A61" t="s">
        <v>281</v>
      </c>
      <c r="B61">
        <f t="shared" si="0"/>
        <v>59</v>
      </c>
      <c r="C61">
        <v>60</v>
      </c>
      <c r="D61" t="s">
        <v>56</v>
      </c>
      <c r="M61" t="s">
        <v>180</v>
      </c>
      <c r="O61" t="s">
        <v>175</v>
      </c>
      <c r="Q61">
        <v>59</v>
      </c>
      <c r="R61" t="s">
        <v>55</v>
      </c>
    </row>
    <row r="62" spans="1:18" x14ac:dyDescent="0.3">
      <c r="A62" t="s">
        <v>282</v>
      </c>
      <c r="B62">
        <f t="shared" si="0"/>
        <v>60</v>
      </c>
      <c r="C62">
        <v>61</v>
      </c>
      <c r="D62" t="s">
        <v>57</v>
      </c>
      <c r="M62" t="s">
        <v>182</v>
      </c>
      <c r="O62" t="s">
        <v>177</v>
      </c>
      <c r="Q62">
        <v>60</v>
      </c>
      <c r="R62" t="s">
        <v>56</v>
      </c>
    </row>
    <row r="63" spans="1:18" x14ac:dyDescent="0.3">
      <c r="A63" t="s">
        <v>283</v>
      </c>
      <c r="B63">
        <f t="shared" si="0"/>
        <v>61</v>
      </c>
      <c r="C63">
        <v>62</v>
      </c>
      <c r="D63" t="s">
        <v>58</v>
      </c>
      <c r="M63" t="s">
        <v>184</v>
      </c>
      <c r="O63" t="s">
        <v>179</v>
      </c>
      <c r="Q63">
        <v>61</v>
      </c>
      <c r="R63" t="s">
        <v>57</v>
      </c>
    </row>
    <row r="64" spans="1:18" x14ac:dyDescent="0.3">
      <c r="A64" t="s">
        <v>284</v>
      </c>
      <c r="B64">
        <f t="shared" si="0"/>
        <v>62</v>
      </c>
      <c r="C64">
        <v>63</v>
      </c>
      <c r="D64" t="s">
        <v>59</v>
      </c>
      <c r="M64" t="s">
        <v>186</v>
      </c>
      <c r="O64" t="s">
        <v>181</v>
      </c>
      <c r="Q64">
        <v>62</v>
      </c>
      <c r="R64" t="s">
        <v>58</v>
      </c>
    </row>
    <row r="65" spans="1:18" x14ac:dyDescent="0.3">
      <c r="A65" t="s">
        <v>285</v>
      </c>
      <c r="B65">
        <f t="shared" si="0"/>
        <v>63</v>
      </c>
      <c r="C65">
        <v>64</v>
      </c>
      <c r="D65" t="s">
        <v>60</v>
      </c>
      <c r="M65" t="s">
        <v>188</v>
      </c>
      <c r="Q65">
        <v>63</v>
      </c>
      <c r="R65" t="s">
        <v>59</v>
      </c>
    </row>
    <row r="66" spans="1:18" x14ac:dyDescent="0.3">
      <c r="A66" t="s">
        <v>286</v>
      </c>
      <c r="B66">
        <f t="shared" si="0"/>
        <v>64</v>
      </c>
      <c r="C66">
        <v>65</v>
      </c>
      <c r="D66" t="s">
        <v>61</v>
      </c>
      <c r="M66" t="s">
        <v>190</v>
      </c>
      <c r="O66" t="s">
        <v>183</v>
      </c>
      <c r="Q66">
        <v>64</v>
      </c>
      <c r="R66" t="s">
        <v>60</v>
      </c>
    </row>
    <row r="67" spans="1:18" x14ac:dyDescent="0.3">
      <c r="A67" t="s">
        <v>287</v>
      </c>
      <c r="B67">
        <f t="shared" ref="B67:B93" si="1">C67-1</f>
        <v>65</v>
      </c>
      <c r="C67">
        <v>66</v>
      </c>
      <c r="D67" t="s">
        <v>62</v>
      </c>
      <c r="M67" t="s">
        <v>240</v>
      </c>
      <c r="Q67">
        <v>65</v>
      </c>
      <c r="R67" t="s">
        <v>61</v>
      </c>
    </row>
    <row r="68" spans="1:18" x14ac:dyDescent="0.3">
      <c r="A68" t="s">
        <v>288</v>
      </c>
      <c r="B68">
        <f t="shared" si="1"/>
        <v>66</v>
      </c>
      <c r="C68">
        <v>67</v>
      </c>
      <c r="D68" t="s">
        <v>63</v>
      </c>
      <c r="M68" t="s">
        <v>192</v>
      </c>
      <c r="O68" t="s">
        <v>185</v>
      </c>
      <c r="Q68">
        <v>66</v>
      </c>
      <c r="R68" t="s">
        <v>62</v>
      </c>
    </row>
    <row r="69" spans="1:18" x14ac:dyDescent="0.3">
      <c r="A69" t="s">
        <v>289</v>
      </c>
      <c r="B69">
        <f t="shared" si="1"/>
        <v>67</v>
      </c>
      <c r="C69">
        <v>68</v>
      </c>
      <c r="D69" t="s">
        <v>64</v>
      </c>
      <c r="M69" t="s">
        <v>194</v>
      </c>
      <c r="O69" t="s">
        <v>187</v>
      </c>
      <c r="Q69">
        <v>67</v>
      </c>
      <c r="R69" t="s">
        <v>63</v>
      </c>
    </row>
    <row r="70" spans="1:18" x14ac:dyDescent="0.3">
      <c r="A70" t="s">
        <v>290</v>
      </c>
      <c r="B70">
        <f t="shared" si="1"/>
        <v>68</v>
      </c>
      <c r="C70">
        <v>69</v>
      </c>
      <c r="D70" t="s">
        <v>65</v>
      </c>
      <c r="M70" t="s">
        <v>195</v>
      </c>
      <c r="O70" t="s">
        <v>189</v>
      </c>
      <c r="Q70">
        <v>68</v>
      </c>
      <c r="R70" t="s">
        <v>64</v>
      </c>
    </row>
    <row r="71" spans="1:18" x14ac:dyDescent="0.3">
      <c r="A71" t="s">
        <v>291</v>
      </c>
      <c r="B71">
        <f t="shared" si="1"/>
        <v>69</v>
      </c>
      <c r="C71">
        <v>70</v>
      </c>
      <c r="D71" t="s">
        <v>66</v>
      </c>
      <c r="M71" t="s">
        <v>197</v>
      </c>
      <c r="O71" t="s">
        <v>191</v>
      </c>
      <c r="Q71">
        <v>69</v>
      </c>
      <c r="R71" t="s">
        <v>65</v>
      </c>
    </row>
    <row r="72" spans="1:18" x14ac:dyDescent="0.3">
      <c r="A72" t="s">
        <v>292</v>
      </c>
      <c r="B72">
        <f t="shared" si="1"/>
        <v>70</v>
      </c>
      <c r="C72">
        <v>71</v>
      </c>
      <c r="D72" t="s">
        <v>67</v>
      </c>
      <c r="M72" t="s">
        <v>199</v>
      </c>
      <c r="O72" t="s">
        <v>193</v>
      </c>
      <c r="Q72">
        <v>70</v>
      </c>
      <c r="R72" t="s">
        <v>66</v>
      </c>
    </row>
    <row r="73" spans="1:18" x14ac:dyDescent="0.3">
      <c r="A73" t="s">
        <v>262</v>
      </c>
      <c r="B73">
        <f t="shared" si="1"/>
        <v>71</v>
      </c>
      <c r="C73">
        <v>72</v>
      </c>
      <c r="D73" t="s">
        <v>68</v>
      </c>
      <c r="M73" t="s">
        <v>201</v>
      </c>
      <c r="Q73">
        <v>71</v>
      </c>
      <c r="R73" t="s">
        <v>67</v>
      </c>
    </row>
    <row r="74" spans="1:18" x14ac:dyDescent="0.3">
      <c r="A74" t="s">
        <v>262</v>
      </c>
      <c r="B74">
        <f t="shared" si="1"/>
        <v>72</v>
      </c>
      <c r="C74">
        <v>73</v>
      </c>
      <c r="D74" t="s">
        <v>69</v>
      </c>
      <c r="M74" t="s">
        <v>203</v>
      </c>
      <c r="O74" t="s">
        <v>117</v>
      </c>
      <c r="Q74">
        <v>72</v>
      </c>
      <c r="R74" t="s">
        <v>68</v>
      </c>
    </row>
    <row r="75" spans="1:18" x14ac:dyDescent="0.3">
      <c r="A75" t="s">
        <v>262</v>
      </c>
      <c r="B75">
        <f t="shared" si="1"/>
        <v>73</v>
      </c>
      <c r="C75">
        <v>74</v>
      </c>
      <c r="D75" t="s">
        <v>70</v>
      </c>
      <c r="M75" t="s">
        <v>205</v>
      </c>
      <c r="O75" t="s">
        <v>196</v>
      </c>
      <c r="Q75">
        <v>73</v>
      </c>
      <c r="R75" t="s">
        <v>69</v>
      </c>
    </row>
    <row r="76" spans="1:18" x14ac:dyDescent="0.3">
      <c r="A76" t="s">
        <v>262</v>
      </c>
      <c r="B76">
        <f t="shared" si="1"/>
        <v>74</v>
      </c>
      <c r="C76">
        <v>75</v>
      </c>
      <c r="D76" t="s">
        <v>71</v>
      </c>
      <c r="M76" t="s">
        <v>207</v>
      </c>
      <c r="O76" t="s">
        <v>198</v>
      </c>
      <c r="Q76">
        <v>74</v>
      </c>
      <c r="R76" t="s">
        <v>70</v>
      </c>
    </row>
    <row r="77" spans="1:18" x14ac:dyDescent="0.3">
      <c r="A77" t="s">
        <v>1</v>
      </c>
      <c r="B77">
        <f t="shared" si="1"/>
        <v>75</v>
      </c>
      <c r="C77">
        <v>76</v>
      </c>
      <c r="D77" t="s">
        <v>1</v>
      </c>
      <c r="O77" t="s">
        <v>200</v>
      </c>
      <c r="Q77">
        <v>75</v>
      </c>
      <c r="R77" t="s">
        <v>71</v>
      </c>
    </row>
    <row r="78" spans="1:18" x14ac:dyDescent="0.3">
      <c r="A78" t="s">
        <v>284</v>
      </c>
      <c r="B78">
        <f t="shared" si="1"/>
        <v>76</v>
      </c>
      <c r="C78">
        <v>77</v>
      </c>
      <c r="D78" t="s">
        <v>293</v>
      </c>
      <c r="Q78">
        <v>76</v>
      </c>
      <c r="R78" t="s">
        <v>1</v>
      </c>
    </row>
    <row r="79" spans="1:18" x14ac:dyDescent="0.3">
      <c r="A79" t="s">
        <v>284</v>
      </c>
      <c r="B79">
        <f t="shared" si="1"/>
        <v>77</v>
      </c>
      <c r="C79">
        <v>78</v>
      </c>
      <c r="D79" t="s">
        <v>294</v>
      </c>
      <c r="O79" t="s">
        <v>202</v>
      </c>
    </row>
    <row r="80" spans="1:18" x14ac:dyDescent="0.3">
      <c r="A80" t="s">
        <v>284</v>
      </c>
      <c r="B80">
        <f t="shared" si="1"/>
        <v>78</v>
      </c>
      <c r="C80">
        <v>79</v>
      </c>
      <c r="D80" t="s">
        <v>295</v>
      </c>
      <c r="O80" t="s">
        <v>204</v>
      </c>
    </row>
    <row r="81" spans="1:15" x14ac:dyDescent="0.3">
      <c r="A81" t="s">
        <v>284</v>
      </c>
      <c r="B81">
        <f t="shared" si="1"/>
        <v>79</v>
      </c>
      <c r="C81">
        <v>80</v>
      </c>
      <c r="D81" t="s">
        <v>296</v>
      </c>
      <c r="N81" t="s">
        <v>212</v>
      </c>
      <c r="O81" t="s">
        <v>206</v>
      </c>
    </row>
    <row r="82" spans="1:15" x14ac:dyDescent="0.3">
      <c r="A82" t="s">
        <v>284</v>
      </c>
      <c r="B82">
        <f t="shared" si="1"/>
        <v>80</v>
      </c>
      <c r="C82">
        <v>81</v>
      </c>
      <c r="D82" t="s">
        <v>297</v>
      </c>
      <c r="O82" t="s">
        <v>208</v>
      </c>
    </row>
    <row r="83" spans="1:15" x14ac:dyDescent="0.3">
      <c r="A83" t="s">
        <v>284</v>
      </c>
      <c r="B83">
        <f t="shared" si="1"/>
        <v>81</v>
      </c>
      <c r="C83">
        <v>82</v>
      </c>
      <c r="D83" t="s">
        <v>298</v>
      </c>
    </row>
    <row r="84" spans="1:15" x14ac:dyDescent="0.3">
      <c r="A84" t="s">
        <v>284</v>
      </c>
      <c r="B84">
        <f t="shared" si="1"/>
        <v>82</v>
      </c>
      <c r="C84">
        <v>83</v>
      </c>
      <c r="D84" t="s">
        <v>299</v>
      </c>
      <c r="O84" t="s">
        <v>127</v>
      </c>
    </row>
    <row r="85" spans="1:15" x14ac:dyDescent="0.3">
      <c r="A85" t="s">
        <v>284</v>
      </c>
      <c r="B85">
        <f t="shared" si="1"/>
        <v>83</v>
      </c>
      <c r="C85">
        <v>84</v>
      </c>
      <c r="D85" t="s">
        <v>300</v>
      </c>
      <c r="O85" t="s">
        <v>211</v>
      </c>
    </row>
    <row r="86" spans="1:15" x14ac:dyDescent="0.3">
      <c r="A86" t="s">
        <v>284</v>
      </c>
      <c r="B86">
        <f t="shared" si="1"/>
        <v>84</v>
      </c>
      <c r="C86">
        <v>85</v>
      </c>
      <c r="D86" t="s">
        <v>301</v>
      </c>
      <c r="O86" t="s">
        <v>213</v>
      </c>
    </row>
    <row r="87" spans="1:15" x14ac:dyDescent="0.3">
      <c r="A87" t="s">
        <v>284</v>
      </c>
      <c r="B87">
        <f t="shared" si="1"/>
        <v>85</v>
      </c>
      <c r="C87">
        <v>86</v>
      </c>
      <c r="D87" t="s">
        <v>302</v>
      </c>
      <c r="O87" t="s">
        <v>215</v>
      </c>
    </row>
    <row r="88" spans="1:15" x14ac:dyDescent="0.3">
      <c r="A88" t="s">
        <v>284</v>
      </c>
      <c r="B88">
        <f t="shared" si="1"/>
        <v>86</v>
      </c>
      <c r="C88">
        <v>87</v>
      </c>
      <c r="D88" t="s">
        <v>303</v>
      </c>
    </row>
    <row r="89" spans="1:15" x14ac:dyDescent="0.3">
      <c r="A89" t="s">
        <v>284</v>
      </c>
      <c r="B89">
        <f t="shared" si="1"/>
        <v>87</v>
      </c>
      <c r="C89">
        <v>88</v>
      </c>
      <c r="D89" t="s">
        <v>304</v>
      </c>
      <c r="O89" t="s">
        <v>217</v>
      </c>
    </row>
    <row r="90" spans="1:15" x14ac:dyDescent="0.3">
      <c r="A90" t="s">
        <v>284</v>
      </c>
      <c r="B90">
        <f t="shared" si="1"/>
        <v>88</v>
      </c>
      <c r="C90">
        <v>89</v>
      </c>
      <c r="D90" t="s">
        <v>305</v>
      </c>
      <c r="O90" t="s">
        <v>219</v>
      </c>
    </row>
    <row r="91" spans="1:15" x14ac:dyDescent="0.3">
      <c r="A91" t="s">
        <v>284</v>
      </c>
      <c r="B91">
        <f t="shared" si="1"/>
        <v>89</v>
      </c>
      <c r="C91">
        <v>90</v>
      </c>
      <c r="D91" t="s">
        <v>306</v>
      </c>
      <c r="N91" t="s">
        <v>216</v>
      </c>
      <c r="O91" t="s">
        <v>221</v>
      </c>
    </row>
    <row r="92" spans="1:15" x14ac:dyDescent="0.3">
      <c r="A92" t="s">
        <v>284</v>
      </c>
      <c r="B92">
        <f t="shared" si="1"/>
        <v>90</v>
      </c>
      <c r="C92">
        <v>91</v>
      </c>
      <c r="D92" t="s">
        <v>307</v>
      </c>
      <c r="M92" t="s">
        <v>232</v>
      </c>
      <c r="N92" t="s">
        <v>218</v>
      </c>
      <c r="O92" t="s">
        <v>223</v>
      </c>
    </row>
    <row r="93" spans="1:15" x14ac:dyDescent="0.3">
      <c r="A93" t="s">
        <v>284</v>
      </c>
      <c r="B93">
        <f t="shared" si="1"/>
        <v>91</v>
      </c>
      <c r="C93">
        <v>92</v>
      </c>
      <c r="D93" t="s">
        <v>308</v>
      </c>
      <c r="O93" t="s">
        <v>225</v>
      </c>
    </row>
    <row r="94" spans="1:15" x14ac:dyDescent="0.3">
      <c r="B94">
        <f t="shared" ref="B94:B119" si="2">C94-1</f>
        <v>92</v>
      </c>
      <c r="C94">
        <v>93</v>
      </c>
      <c r="D94" t="s">
        <v>376</v>
      </c>
      <c r="M94" t="s">
        <v>236</v>
      </c>
      <c r="O94" t="s">
        <v>227</v>
      </c>
    </row>
    <row r="95" spans="1:15" x14ac:dyDescent="0.3">
      <c r="B95">
        <f t="shared" si="2"/>
        <v>93</v>
      </c>
      <c r="C95">
        <v>94</v>
      </c>
      <c r="D95" t="s">
        <v>377</v>
      </c>
      <c r="O95" t="s">
        <v>229</v>
      </c>
    </row>
    <row r="96" spans="1:15" x14ac:dyDescent="0.3">
      <c r="B96">
        <f t="shared" si="2"/>
        <v>94</v>
      </c>
      <c r="C96">
        <v>95</v>
      </c>
      <c r="D96" t="s">
        <v>378</v>
      </c>
      <c r="O96" t="s">
        <v>231</v>
      </c>
    </row>
    <row r="97" spans="2:15" x14ac:dyDescent="0.3">
      <c r="B97">
        <f t="shared" si="2"/>
        <v>95</v>
      </c>
      <c r="C97">
        <v>96</v>
      </c>
      <c r="D97" t="s">
        <v>379</v>
      </c>
      <c r="M97" t="s">
        <v>242</v>
      </c>
      <c r="O97" t="s">
        <v>233</v>
      </c>
    </row>
    <row r="98" spans="2:15" x14ac:dyDescent="0.3">
      <c r="B98">
        <f t="shared" si="2"/>
        <v>96</v>
      </c>
      <c r="C98">
        <v>97</v>
      </c>
      <c r="D98" t="s">
        <v>380</v>
      </c>
      <c r="M98" t="s">
        <v>244</v>
      </c>
      <c r="O98" t="s">
        <v>235</v>
      </c>
    </row>
    <row r="99" spans="2:15" x14ac:dyDescent="0.3">
      <c r="B99">
        <f t="shared" si="2"/>
        <v>97</v>
      </c>
      <c r="C99">
        <v>98</v>
      </c>
      <c r="D99" t="s">
        <v>381</v>
      </c>
      <c r="M99" t="s">
        <v>246</v>
      </c>
      <c r="O99" t="s">
        <v>237</v>
      </c>
    </row>
    <row r="100" spans="2:15" x14ac:dyDescent="0.3">
      <c r="B100">
        <f t="shared" si="2"/>
        <v>98</v>
      </c>
      <c r="C100">
        <v>99</v>
      </c>
      <c r="D100" t="s">
        <v>382</v>
      </c>
      <c r="M100" t="s">
        <v>248</v>
      </c>
      <c r="O100" t="s">
        <v>239</v>
      </c>
    </row>
    <row r="101" spans="2:15" x14ac:dyDescent="0.3">
      <c r="B101">
        <f t="shared" si="2"/>
        <v>99</v>
      </c>
      <c r="C101">
        <v>100</v>
      </c>
      <c r="D101" t="s">
        <v>383</v>
      </c>
      <c r="M101" t="s">
        <v>250</v>
      </c>
      <c r="O101" t="s">
        <v>241</v>
      </c>
    </row>
    <row r="102" spans="2:15" x14ac:dyDescent="0.3">
      <c r="B102">
        <f t="shared" si="2"/>
        <v>100</v>
      </c>
      <c r="C102">
        <v>101</v>
      </c>
      <c r="D102" t="s">
        <v>384</v>
      </c>
      <c r="M102" t="s">
        <v>252</v>
      </c>
      <c r="O102" t="s">
        <v>243</v>
      </c>
    </row>
    <row r="103" spans="2:15" x14ac:dyDescent="0.3">
      <c r="B103">
        <f t="shared" si="2"/>
        <v>101</v>
      </c>
      <c r="C103">
        <v>102</v>
      </c>
      <c r="D103" t="s">
        <v>385</v>
      </c>
      <c r="O103" t="s">
        <v>245</v>
      </c>
    </row>
    <row r="104" spans="2:15" x14ac:dyDescent="0.3">
      <c r="B104">
        <f t="shared" si="2"/>
        <v>102</v>
      </c>
      <c r="C104">
        <v>103</v>
      </c>
      <c r="D104" t="s">
        <v>386</v>
      </c>
      <c r="O104" t="s">
        <v>247</v>
      </c>
    </row>
    <row r="105" spans="2:15" x14ac:dyDescent="0.3">
      <c r="B105">
        <f t="shared" si="2"/>
        <v>103</v>
      </c>
      <c r="C105">
        <v>104</v>
      </c>
      <c r="D105" t="s">
        <v>387</v>
      </c>
      <c r="O105" t="s">
        <v>249</v>
      </c>
    </row>
    <row r="106" spans="2:15" x14ac:dyDescent="0.3">
      <c r="B106">
        <f t="shared" si="2"/>
        <v>104</v>
      </c>
      <c r="C106">
        <v>105</v>
      </c>
      <c r="D106" t="s">
        <v>388</v>
      </c>
      <c r="O106" t="s">
        <v>251</v>
      </c>
    </row>
    <row r="107" spans="2:15" x14ac:dyDescent="0.3">
      <c r="B107">
        <f t="shared" si="2"/>
        <v>105</v>
      </c>
      <c r="C107">
        <v>106</v>
      </c>
      <c r="D107" t="s">
        <v>389</v>
      </c>
      <c r="O107" t="s">
        <v>253</v>
      </c>
    </row>
    <row r="108" spans="2:15" x14ac:dyDescent="0.3">
      <c r="B108">
        <f t="shared" si="2"/>
        <v>106</v>
      </c>
      <c r="C108">
        <v>107</v>
      </c>
      <c r="D108" t="s">
        <v>390</v>
      </c>
    </row>
    <row r="109" spans="2:15" x14ac:dyDescent="0.3">
      <c r="B109">
        <f t="shared" si="2"/>
        <v>107</v>
      </c>
      <c r="C109">
        <v>108</v>
      </c>
      <c r="D109" t="s">
        <v>391</v>
      </c>
    </row>
    <row r="110" spans="2:15" x14ac:dyDescent="0.3">
      <c r="B110">
        <f t="shared" si="2"/>
        <v>108</v>
      </c>
      <c r="C110">
        <v>109</v>
      </c>
      <c r="D110" t="s">
        <v>392</v>
      </c>
    </row>
    <row r="111" spans="2:15" x14ac:dyDescent="0.3">
      <c r="B111">
        <f t="shared" si="2"/>
        <v>109</v>
      </c>
      <c r="C111">
        <v>110</v>
      </c>
      <c r="D111" t="s">
        <v>393</v>
      </c>
    </row>
    <row r="112" spans="2:15" x14ac:dyDescent="0.3">
      <c r="B112">
        <f t="shared" si="2"/>
        <v>110</v>
      </c>
      <c r="C112">
        <v>111</v>
      </c>
      <c r="D112" t="s">
        <v>394</v>
      </c>
    </row>
    <row r="113" spans="2:4" x14ac:dyDescent="0.3">
      <c r="B113">
        <f t="shared" si="2"/>
        <v>111</v>
      </c>
      <c r="C113">
        <v>112</v>
      </c>
      <c r="D113" t="s">
        <v>395</v>
      </c>
    </row>
    <row r="114" spans="2:4" x14ac:dyDescent="0.3">
      <c r="B114">
        <f t="shared" si="2"/>
        <v>112</v>
      </c>
      <c r="C114">
        <v>113</v>
      </c>
      <c r="D114" t="s">
        <v>396</v>
      </c>
    </row>
    <row r="115" spans="2:4" x14ac:dyDescent="0.3">
      <c r="B115">
        <f t="shared" si="2"/>
        <v>113</v>
      </c>
      <c r="C115">
        <v>114</v>
      </c>
      <c r="D115" t="s">
        <v>397</v>
      </c>
    </row>
    <row r="116" spans="2:4" x14ac:dyDescent="0.3">
      <c r="B116">
        <f t="shared" si="2"/>
        <v>114</v>
      </c>
      <c r="C116">
        <v>115</v>
      </c>
      <c r="D116" t="s">
        <v>398</v>
      </c>
    </row>
    <row r="117" spans="2:4" x14ac:dyDescent="0.3">
      <c r="B117">
        <f t="shared" si="2"/>
        <v>115</v>
      </c>
      <c r="C117">
        <v>116</v>
      </c>
      <c r="D117" t="s">
        <v>399</v>
      </c>
    </row>
    <row r="118" spans="2:4" x14ac:dyDescent="0.3">
      <c r="B118">
        <f t="shared" si="2"/>
        <v>116</v>
      </c>
      <c r="C118">
        <v>117</v>
      </c>
      <c r="D118" t="s">
        <v>400</v>
      </c>
    </row>
    <row r="119" spans="2:4" x14ac:dyDescent="0.3">
      <c r="B119">
        <f t="shared" si="2"/>
        <v>117</v>
      </c>
      <c r="C119">
        <v>118</v>
      </c>
      <c r="D119" t="s">
        <v>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6BA7-F137-4CC2-91DB-F2F3FD3AC166}">
  <dimension ref="A1:B76"/>
  <sheetViews>
    <sheetView workbookViewId="0">
      <selection activeCell="B1" sqref="B1:B16"/>
    </sheetView>
  </sheetViews>
  <sheetFormatPr defaultRowHeight="14.4" x14ac:dyDescent="0.3"/>
  <sheetData>
    <row r="1" spans="1:2" x14ac:dyDescent="0.3">
      <c r="A1">
        <v>1</v>
      </c>
      <c r="B1" t="s">
        <v>1</v>
      </c>
    </row>
    <row r="2" spans="1:2" x14ac:dyDescent="0.3">
      <c r="A2">
        <v>2</v>
      </c>
      <c r="B2" t="s">
        <v>254</v>
      </c>
    </row>
    <row r="3" spans="1:2" x14ac:dyDescent="0.3">
      <c r="A3">
        <v>3</v>
      </c>
      <c r="B3" t="s">
        <v>255</v>
      </c>
    </row>
    <row r="4" spans="1:2" x14ac:dyDescent="0.3">
      <c r="A4">
        <v>4</v>
      </c>
      <c r="B4" t="s">
        <v>256</v>
      </c>
    </row>
    <row r="5" spans="1:2" x14ac:dyDescent="0.3">
      <c r="A5">
        <v>5</v>
      </c>
      <c r="B5" t="s">
        <v>257</v>
      </c>
    </row>
    <row r="6" spans="1:2" x14ac:dyDescent="0.3">
      <c r="A6">
        <v>6</v>
      </c>
      <c r="B6" t="s">
        <v>258</v>
      </c>
    </row>
    <row r="7" spans="1:2" x14ac:dyDescent="0.3">
      <c r="A7">
        <v>7</v>
      </c>
      <c r="B7" t="s">
        <v>259</v>
      </c>
    </row>
    <row r="8" spans="1:2" x14ac:dyDescent="0.3">
      <c r="A8">
        <v>8</v>
      </c>
      <c r="B8" t="s">
        <v>260</v>
      </c>
    </row>
    <row r="9" spans="1:2" x14ac:dyDescent="0.3">
      <c r="A9">
        <v>9</v>
      </c>
      <c r="B9" t="s">
        <v>261</v>
      </c>
    </row>
    <row r="10" spans="1:2" x14ac:dyDescent="0.3">
      <c r="A10">
        <v>10</v>
      </c>
      <c r="B10" t="s">
        <v>262</v>
      </c>
    </row>
    <row r="11" spans="1:2" x14ac:dyDescent="0.3">
      <c r="A11">
        <v>11</v>
      </c>
      <c r="B11" t="s">
        <v>263</v>
      </c>
    </row>
    <row r="12" spans="1:2" x14ac:dyDescent="0.3">
      <c r="A12">
        <v>12</v>
      </c>
      <c r="B12" t="s">
        <v>264</v>
      </c>
    </row>
    <row r="13" spans="1:2" x14ac:dyDescent="0.3">
      <c r="A13">
        <v>13</v>
      </c>
      <c r="B13" t="s">
        <v>257</v>
      </c>
    </row>
    <row r="14" spans="1:2" x14ac:dyDescent="0.3">
      <c r="A14">
        <v>14</v>
      </c>
      <c r="B14" t="s">
        <v>265</v>
      </c>
    </row>
    <row r="15" spans="1:2" x14ac:dyDescent="0.3">
      <c r="A15">
        <v>15</v>
      </c>
      <c r="B15" t="s">
        <v>1</v>
      </c>
    </row>
    <row r="16" spans="1:2" x14ac:dyDescent="0.3">
      <c r="A16">
        <v>16</v>
      </c>
      <c r="B16" t="s">
        <v>266</v>
      </c>
    </row>
    <row r="17" spans="1:2" x14ac:dyDescent="0.3">
      <c r="A17">
        <v>17</v>
      </c>
      <c r="B17" t="s">
        <v>1</v>
      </c>
    </row>
    <row r="18" spans="1:2" x14ac:dyDescent="0.3">
      <c r="A18">
        <v>18</v>
      </c>
      <c r="B18" t="s">
        <v>266</v>
      </c>
    </row>
    <row r="19" spans="1:2" x14ac:dyDescent="0.3">
      <c r="A19">
        <v>19</v>
      </c>
      <c r="B19" t="s">
        <v>1</v>
      </c>
    </row>
    <row r="20" spans="1:2" x14ac:dyDescent="0.3">
      <c r="A20">
        <v>20</v>
      </c>
      <c r="B20" t="s">
        <v>266</v>
      </c>
    </row>
    <row r="21" spans="1:2" x14ac:dyDescent="0.3">
      <c r="A21">
        <v>21</v>
      </c>
      <c r="B21" t="s">
        <v>1</v>
      </c>
    </row>
    <row r="22" spans="1:2" x14ac:dyDescent="0.3">
      <c r="A22">
        <v>22</v>
      </c>
      <c r="B22" t="s">
        <v>266</v>
      </c>
    </row>
    <row r="23" spans="1:2" x14ac:dyDescent="0.3">
      <c r="A23">
        <v>23</v>
      </c>
      <c r="B23" t="s">
        <v>267</v>
      </c>
    </row>
    <row r="24" spans="1:2" x14ac:dyDescent="0.3">
      <c r="A24">
        <v>24</v>
      </c>
      <c r="B24" t="s">
        <v>268</v>
      </c>
    </row>
    <row r="25" spans="1:2" x14ac:dyDescent="0.3">
      <c r="B25" t="s">
        <v>269</v>
      </c>
    </row>
    <row r="26" spans="1:2" x14ac:dyDescent="0.3">
      <c r="B26" t="s">
        <v>270</v>
      </c>
    </row>
    <row r="27" spans="1:2" x14ac:dyDescent="0.3">
      <c r="B27" t="s">
        <v>271</v>
      </c>
    </row>
    <row r="28" spans="1:2" x14ac:dyDescent="0.3">
      <c r="B28" t="s">
        <v>272</v>
      </c>
    </row>
    <row r="29" spans="1:2" x14ac:dyDescent="0.3">
      <c r="B29" t="s">
        <v>273</v>
      </c>
    </row>
    <row r="30" spans="1:2" x14ac:dyDescent="0.3">
      <c r="B30" t="s">
        <v>274</v>
      </c>
    </row>
    <row r="31" spans="1:2" x14ac:dyDescent="0.3">
      <c r="B31" t="s">
        <v>274</v>
      </c>
    </row>
    <row r="32" spans="1:2" x14ac:dyDescent="0.3">
      <c r="B32" t="s">
        <v>275</v>
      </c>
    </row>
    <row r="33" spans="2:2" x14ac:dyDescent="0.3">
      <c r="B33" t="s">
        <v>276</v>
      </c>
    </row>
    <row r="34" spans="2:2" x14ac:dyDescent="0.3">
      <c r="B34" t="s">
        <v>277</v>
      </c>
    </row>
    <row r="35" spans="2:2" x14ac:dyDescent="0.3">
      <c r="B35" t="s">
        <v>278</v>
      </c>
    </row>
    <row r="36" spans="2:2" x14ac:dyDescent="0.3">
      <c r="B36" t="s">
        <v>278</v>
      </c>
    </row>
    <row r="37" spans="2:2" x14ac:dyDescent="0.3">
      <c r="B37" t="s">
        <v>278</v>
      </c>
    </row>
    <row r="38" spans="2:2" x14ac:dyDescent="0.3">
      <c r="B38" t="s">
        <v>278</v>
      </c>
    </row>
    <row r="39" spans="2:2" x14ac:dyDescent="0.3">
      <c r="B39" t="s">
        <v>277</v>
      </c>
    </row>
    <row r="40" spans="2:2" x14ac:dyDescent="0.3">
      <c r="B40" t="s">
        <v>277</v>
      </c>
    </row>
    <row r="41" spans="2:2" x14ac:dyDescent="0.3">
      <c r="B41" t="s">
        <v>277</v>
      </c>
    </row>
    <row r="42" spans="2:2" x14ac:dyDescent="0.3">
      <c r="B42" t="s">
        <v>278</v>
      </c>
    </row>
    <row r="43" spans="2:2" x14ac:dyDescent="0.3">
      <c r="B43" t="s">
        <v>279</v>
      </c>
    </row>
    <row r="44" spans="2:2" x14ac:dyDescent="0.3">
      <c r="B44" t="s">
        <v>279</v>
      </c>
    </row>
    <row r="45" spans="2:2" x14ac:dyDescent="0.3">
      <c r="B45" t="s">
        <v>279</v>
      </c>
    </row>
    <row r="46" spans="2:2" x14ac:dyDescent="0.3">
      <c r="B46" t="s">
        <v>280</v>
      </c>
    </row>
    <row r="47" spans="2:2" x14ac:dyDescent="0.3">
      <c r="B47" t="s">
        <v>280</v>
      </c>
    </row>
    <row r="48" spans="2:2" x14ac:dyDescent="0.3">
      <c r="B48" t="s">
        <v>280</v>
      </c>
    </row>
    <row r="49" spans="2:2" x14ac:dyDescent="0.3">
      <c r="B49" t="s">
        <v>279</v>
      </c>
    </row>
    <row r="50" spans="2:2" x14ac:dyDescent="0.3">
      <c r="B50" t="s">
        <v>279</v>
      </c>
    </row>
    <row r="51" spans="2:2" x14ac:dyDescent="0.3">
      <c r="B51" t="s">
        <v>280</v>
      </c>
    </row>
    <row r="52" spans="2:2" x14ac:dyDescent="0.3">
      <c r="B52" t="s">
        <v>280</v>
      </c>
    </row>
    <row r="53" spans="2:2" x14ac:dyDescent="0.3">
      <c r="B53" t="s">
        <v>281</v>
      </c>
    </row>
    <row r="54" spans="2:2" x14ac:dyDescent="0.3">
      <c r="B54" t="s">
        <v>281</v>
      </c>
    </row>
    <row r="55" spans="2:2" x14ac:dyDescent="0.3">
      <c r="B55" t="s">
        <v>281</v>
      </c>
    </row>
    <row r="56" spans="2:2" x14ac:dyDescent="0.3">
      <c r="B56" t="s">
        <v>281</v>
      </c>
    </row>
    <row r="57" spans="2:2" x14ac:dyDescent="0.3">
      <c r="B57" t="s">
        <v>281</v>
      </c>
    </row>
    <row r="58" spans="2:2" x14ac:dyDescent="0.3">
      <c r="B58" t="s">
        <v>281</v>
      </c>
    </row>
    <row r="59" spans="2:2" x14ac:dyDescent="0.3">
      <c r="B59" t="s">
        <v>281</v>
      </c>
    </row>
    <row r="60" spans="2:2" x14ac:dyDescent="0.3">
      <c r="B60" t="s">
        <v>281</v>
      </c>
    </row>
    <row r="61" spans="2:2" x14ac:dyDescent="0.3">
      <c r="B61" t="s">
        <v>282</v>
      </c>
    </row>
    <row r="62" spans="2:2" x14ac:dyDescent="0.3">
      <c r="B62" t="s">
        <v>283</v>
      </c>
    </row>
    <row r="63" spans="2:2" x14ac:dyDescent="0.3">
      <c r="B63" t="s">
        <v>284</v>
      </c>
    </row>
    <row r="64" spans="2:2" x14ac:dyDescent="0.3">
      <c r="B64" t="s">
        <v>285</v>
      </c>
    </row>
    <row r="65" spans="2:2" x14ac:dyDescent="0.3">
      <c r="B65" t="s">
        <v>286</v>
      </c>
    </row>
    <row r="66" spans="2:2" x14ac:dyDescent="0.3">
      <c r="B66" t="s">
        <v>287</v>
      </c>
    </row>
    <row r="67" spans="2:2" x14ac:dyDescent="0.3">
      <c r="B67" t="s">
        <v>288</v>
      </c>
    </row>
    <row r="68" spans="2:2" x14ac:dyDescent="0.3">
      <c r="B68" t="s">
        <v>289</v>
      </c>
    </row>
    <row r="69" spans="2:2" x14ac:dyDescent="0.3">
      <c r="B69" t="s">
        <v>290</v>
      </c>
    </row>
    <row r="70" spans="2:2" x14ac:dyDescent="0.3">
      <c r="B70" t="s">
        <v>291</v>
      </c>
    </row>
    <row r="71" spans="2:2" x14ac:dyDescent="0.3">
      <c r="B71" t="s">
        <v>292</v>
      </c>
    </row>
    <row r="72" spans="2:2" x14ac:dyDescent="0.3">
      <c r="B72" t="s">
        <v>262</v>
      </c>
    </row>
    <row r="73" spans="2:2" x14ac:dyDescent="0.3">
      <c r="B73" t="s">
        <v>262</v>
      </c>
    </row>
    <row r="74" spans="2:2" x14ac:dyDescent="0.3">
      <c r="B74" t="s">
        <v>262</v>
      </c>
    </row>
    <row r="75" spans="2:2" x14ac:dyDescent="0.3">
      <c r="B75" t="s">
        <v>262</v>
      </c>
    </row>
    <row r="76" spans="2:2" x14ac:dyDescent="0.3">
      <c r="B76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8FF9-3A23-4355-A3FF-734A8908925E}">
  <dimension ref="B1:N43"/>
  <sheetViews>
    <sheetView workbookViewId="0">
      <selection activeCell="N18" sqref="N18:N43"/>
    </sheetView>
  </sheetViews>
  <sheetFormatPr defaultRowHeight="14.4" x14ac:dyDescent="0.3"/>
  <cols>
    <col min="2" max="2" width="25.77734375" bestFit="1" customWidth="1"/>
    <col min="4" max="4" width="17.88671875" bestFit="1" customWidth="1"/>
    <col min="5" max="5" width="19.6640625" bestFit="1" customWidth="1"/>
    <col min="7" max="7" width="23.33203125" bestFit="1" customWidth="1"/>
  </cols>
  <sheetData>
    <row r="1" spans="2:9" x14ac:dyDescent="0.3">
      <c r="B1" t="s">
        <v>309</v>
      </c>
      <c r="C1" t="s">
        <v>258</v>
      </c>
      <c r="D1" t="s">
        <v>311</v>
      </c>
      <c r="E1" t="str">
        <f>_xlfn.CONCAT(C1,D1)</f>
        <v>Psleep</v>
      </c>
      <c r="F1">
        <v>76</v>
      </c>
      <c r="G1" t="str">
        <f>CONCATENATE(E1," = ",F1,";")</f>
        <v>Psleep = 76;</v>
      </c>
      <c r="I1" t="str">
        <f>CONCATENATE("int ",E1,";")</f>
        <v>int Psleep;</v>
      </c>
    </row>
    <row r="2" spans="2:9" x14ac:dyDescent="0.3">
      <c r="B2" t="s">
        <v>309</v>
      </c>
      <c r="C2" t="s">
        <v>258</v>
      </c>
      <c r="D2" t="s">
        <v>312</v>
      </c>
      <c r="E2" t="str">
        <f t="shared" ref="E2:E43" si="0">_xlfn.CONCAT(C2,D2)</f>
        <v>Phealing</v>
      </c>
      <c r="F2">
        <v>77</v>
      </c>
      <c r="G2" t="str">
        <f t="shared" ref="G2:G43" si="1">CONCATENATE(E2," = ",F2,";")</f>
        <v>Phealing = 77;</v>
      </c>
      <c r="I2" t="str">
        <f t="shared" ref="I2:I15" si="2">CONCATENATE("int ",E2,";")</f>
        <v>int Phealing;</v>
      </c>
    </row>
    <row r="3" spans="2:9" x14ac:dyDescent="0.3">
      <c r="B3" t="s">
        <v>309</v>
      </c>
      <c r="C3" t="s">
        <v>258</v>
      </c>
      <c r="D3" t="s">
        <v>322</v>
      </c>
      <c r="E3" t="str">
        <f t="shared" si="0"/>
        <v>Praise_level</v>
      </c>
      <c r="F3">
        <v>78</v>
      </c>
      <c r="G3" t="str">
        <f t="shared" si="1"/>
        <v>Praise_level = 78;</v>
      </c>
      <c r="I3" t="str">
        <f t="shared" si="2"/>
        <v>int Praise_level;</v>
      </c>
    </row>
    <row r="4" spans="2:9" x14ac:dyDescent="0.3">
      <c r="B4" t="s">
        <v>309</v>
      </c>
      <c r="C4" t="s">
        <v>258</v>
      </c>
      <c r="D4" t="s">
        <v>323</v>
      </c>
      <c r="E4" t="str">
        <f t="shared" si="0"/>
        <v>Pincrease_ability</v>
      </c>
      <c r="F4">
        <v>79</v>
      </c>
      <c r="G4" t="str">
        <f t="shared" si="1"/>
        <v>Pincrease_ability = 79;</v>
      </c>
      <c r="I4" t="str">
        <f t="shared" si="2"/>
        <v>int Pincrease_ability;</v>
      </c>
    </row>
    <row r="5" spans="2:9" x14ac:dyDescent="0.3">
      <c r="B5" t="s">
        <v>309</v>
      </c>
      <c r="C5" t="s">
        <v>258</v>
      </c>
      <c r="D5" t="s">
        <v>313</v>
      </c>
      <c r="E5" t="str">
        <f t="shared" si="0"/>
        <v>Pwisdom</v>
      </c>
      <c r="F5">
        <v>80</v>
      </c>
      <c r="G5" t="str">
        <f t="shared" si="1"/>
        <v>Pwisdom = 80;</v>
      </c>
      <c r="I5" t="str">
        <f t="shared" si="2"/>
        <v>int Pwisdom;</v>
      </c>
    </row>
    <row r="6" spans="2:9" x14ac:dyDescent="0.3">
      <c r="B6" t="s">
        <v>309</v>
      </c>
      <c r="C6" t="s">
        <v>258</v>
      </c>
      <c r="D6" t="s">
        <v>314</v>
      </c>
      <c r="E6" t="str">
        <f t="shared" si="0"/>
        <v>Pstrength</v>
      </c>
      <c r="F6">
        <v>81</v>
      </c>
      <c r="G6" t="str">
        <f t="shared" si="1"/>
        <v>Pstrength = 81;</v>
      </c>
      <c r="I6" t="str">
        <f t="shared" si="2"/>
        <v>int Pstrength;</v>
      </c>
    </row>
    <row r="7" spans="2:9" x14ac:dyDescent="0.3">
      <c r="B7" t="s">
        <v>309</v>
      </c>
      <c r="C7" t="s">
        <v>258</v>
      </c>
      <c r="D7" t="s">
        <v>324</v>
      </c>
      <c r="E7" t="str">
        <f t="shared" si="0"/>
        <v>Praise_charisma</v>
      </c>
      <c r="F7">
        <v>82</v>
      </c>
      <c r="G7" t="str">
        <f t="shared" si="1"/>
        <v>Praise_charisma = 82;</v>
      </c>
      <c r="I7" t="str">
        <f t="shared" si="2"/>
        <v>int Praise_charisma;</v>
      </c>
    </row>
    <row r="8" spans="2:9" x14ac:dyDescent="0.3">
      <c r="B8" t="s">
        <v>309</v>
      </c>
      <c r="C8" t="s">
        <v>258</v>
      </c>
      <c r="D8" t="s">
        <v>315</v>
      </c>
      <c r="E8" t="str">
        <f t="shared" si="0"/>
        <v>Pdizziness</v>
      </c>
      <c r="F8">
        <v>83</v>
      </c>
      <c r="G8" t="str">
        <f t="shared" si="1"/>
        <v>Pdizziness = 83;</v>
      </c>
      <c r="I8" t="str">
        <f t="shared" si="2"/>
        <v>int Pdizziness;</v>
      </c>
    </row>
    <row r="9" spans="2:9" x14ac:dyDescent="0.3">
      <c r="B9" t="s">
        <v>309</v>
      </c>
      <c r="C9" t="s">
        <v>258</v>
      </c>
      <c r="D9" t="s">
        <v>316</v>
      </c>
      <c r="E9" t="str">
        <f t="shared" si="0"/>
        <v>Plearning</v>
      </c>
      <c r="F9">
        <v>84</v>
      </c>
      <c r="G9" t="str">
        <f t="shared" si="1"/>
        <v>Plearning = 84;</v>
      </c>
      <c r="I9" t="str">
        <f t="shared" si="2"/>
        <v>int Plearning;</v>
      </c>
    </row>
    <row r="10" spans="2:9" x14ac:dyDescent="0.3">
      <c r="B10" t="s">
        <v>309</v>
      </c>
      <c r="C10" t="s">
        <v>258</v>
      </c>
      <c r="D10" t="s">
        <v>325</v>
      </c>
      <c r="E10" t="str">
        <f t="shared" si="0"/>
        <v>Pobject_detection</v>
      </c>
      <c r="F10">
        <v>85</v>
      </c>
      <c r="G10" t="str">
        <f t="shared" si="1"/>
        <v>Pobject_detection = 85;</v>
      </c>
      <c r="I10" t="str">
        <f t="shared" si="2"/>
        <v>int Pobject_detection;</v>
      </c>
    </row>
    <row r="11" spans="2:9" x14ac:dyDescent="0.3">
      <c r="B11" t="s">
        <v>309</v>
      </c>
      <c r="C11" t="s">
        <v>258</v>
      </c>
      <c r="D11" t="s">
        <v>326</v>
      </c>
      <c r="E11" t="str">
        <f t="shared" si="0"/>
        <v>Pmonster_detection</v>
      </c>
      <c r="F11">
        <v>86</v>
      </c>
      <c r="G11" t="str">
        <f t="shared" si="1"/>
        <v>Pmonster_detection = 86;</v>
      </c>
      <c r="I11" t="str">
        <f t="shared" si="2"/>
        <v>int Pmonster_detection;</v>
      </c>
    </row>
    <row r="12" spans="2:9" x14ac:dyDescent="0.3">
      <c r="B12" t="s">
        <v>309</v>
      </c>
      <c r="C12" t="s">
        <v>258</v>
      </c>
      <c r="D12" t="s">
        <v>317</v>
      </c>
      <c r="E12" t="str">
        <f t="shared" si="0"/>
        <v>Pforgetfulness</v>
      </c>
      <c r="F12">
        <v>87</v>
      </c>
      <c r="G12" t="str">
        <f t="shared" si="1"/>
        <v>Pforgetfulness = 87;</v>
      </c>
      <c r="I12" t="str">
        <f t="shared" si="2"/>
        <v>int Pforgetfulness;</v>
      </c>
    </row>
    <row r="13" spans="2:9" x14ac:dyDescent="0.3">
      <c r="B13" t="s">
        <v>309</v>
      </c>
      <c r="C13" t="s">
        <v>258</v>
      </c>
      <c r="D13" t="s">
        <v>318</v>
      </c>
      <c r="E13" t="str">
        <f t="shared" si="0"/>
        <v>Pwater</v>
      </c>
      <c r="F13">
        <v>88</v>
      </c>
      <c r="G13" t="str">
        <f t="shared" si="1"/>
        <v>Pwater = 88;</v>
      </c>
      <c r="I13" t="str">
        <f t="shared" si="2"/>
        <v>int Pwater;</v>
      </c>
    </row>
    <row r="14" spans="2:9" x14ac:dyDescent="0.3">
      <c r="B14" t="s">
        <v>309</v>
      </c>
      <c r="C14" t="s">
        <v>258</v>
      </c>
      <c r="D14" t="s">
        <v>319</v>
      </c>
      <c r="E14" t="str">
        <f t="shared" si="0"/>
        <v>Pblindness</v>
      </c>
      <c r="F14">
        <v>89</v>
      </c>
      <c r="G14" t="str">
        <f t="shared" si="1"/>
        <v>Pblindness = 89;</v>
      </c>
      <c r="I14" t="str">
        <f t="shared" si="2"/>
        <v>int Pblindness;</v>
      </c>
    </row>
    <row r="15" spans="2:9" x14ac:dyDescent="0.3">
      <c r="B15" t="s">
        <v>309</v>
      </c>
      <c r="C15" t="s">
        <v>258</v>
      </c>
      <c r="D15" t="s">
        <v>320</v>
      </c>
      <c r="E15" t="str">
        <f t="shared" si="0"/>
        <v>Pconfusion</v>
      </c>
      <c r="F15">
        <v>90</v>
      </c>
      <c r="G15" t="str">
        <f t="shared" si="1"/>
        <v>Pconfusion = 90;</v>
      </c>
      <c r="I15" t="str">
        <f t="shared" si="2"/>
        <v>int Pconfusion;</v>
      </c>
    </row>
    <row r="16" spans="2:9" x14ac:dyDescent="0.3">
      <c r="B16" t="s">
        <v>309</v>
      </c>
      <c r="C16" t="s">
        <v>258</v>
      </c>
      <c r="D16" t="s">
        <v>321</v>
      </c>
      <c r="E16" t="str">
        <f t="shared" si="0"/>
        <v>Pheroism</v>
      </c>
      <c r="F16">
        <v>91</v>
      </c>
      <c r="G16" t="str">
        <f t="shared" si="1"/>
        <v>Pheroism = 91;</v>
      </c>
      <c r="I16" t="str">
        <f>CONCATENATE("int ",E16,";")</f>
        <v>int Pheroism;</v>
      </c>
    </row>
    <row r="18" spans="2:14" x14ac:dyDescent="0.3">
      <c r="B18" t="s">
        <v>309</v>
      </c>
      <c r="C18" t="s">
        <v>258</v>
      </c>
      <c r="D18" t="s">
        <v>348</v>
      </c>
      <c r="E18" t="str">
        <f t="shared" si="0"/>
        <v>Psturdiness</v>
      </c>
      <c r="F18">
        <v>92</v>
      </c>
      <c r="G18" t="str">
        <f t="shared" si="1"/>
        <v>Psturdiness = 92;</v>
      </c>
      <c r="I18" t="str">
        <f t="shared" ref="I18:I43" si="3">CONCATENATE("int ",E18,";")</f>
        <v>int Psturdiness;</v>
      </c>
      <c r="L18">
        <v>900</v>
      </c>
      <c r="M18">
        <v>2</v>
      </c>
      <c r="N18" t="str">
        <f>CONCATENATE(F18,",",L18,",",M18)</f>
        <v>92,900,2</v>
      </c>
    </row>
    <row r="19" spans="2:14" x14ac:dyDescent="0.3">
      <c r="B19" t="s">
        <v>309</v>
      </c>
      <c r="C19" t="s">
        <v>258</v>
      </c>
      <c r="D19" t="s">
        <v>332</v>
      </c>
      <c r="E19" t="str">
        <f t="shared" si="0"/>
        <v>Pgiant_strength</v>
      </c>
      <c r="F19">
        <v>93</v>
      </c>
      <c r="G19" t="str">
        <f t="shared" si="1"/>
        <v>Pgiant_strength = 93;</v>
      </c>
      <c r="I19" t="str">
        <f t="shared" si="3"/>
        <v>int Pgiant_strength;</v>
      </c>
      <c r="L19">
        <v>2000</v>
      </c>
      <c r="M19">
        <v>2</v>
      </c>
      <c r="N19" t="str">
        <f t="shared" ref="N19:N43" si="4">CONCATENATE(F19,",",L19,",",M19)</f>
        <v>93,2000,2</v>
      </c>
    </row>
    <row r="20" spans="2:14" x14ac:dyDescent="0.3">
      <c r="B20" t="s">
        <v>309</v>
      </c>
      <c r="C20" t="s">
        <v>258</v>
      </c>
      <c r="D20" t="s">
        <v>349</v>
      </c>
      <c r="E20" t="str">
        <f t="shared" si="0"/>
        <v>Pfire_resistance</v>
      </c>
      <c r="F20">
        <v>94</v>
      </c>
      <c r="G20" t="str">
        <f t="shared" si="1"/>
        <v>Pfire_resistance = 94;</v>
      </c>
      <c r="I20" t="str">
        <f t="shared" si="3"/>
        <v>int Pfire_resistance;</v>
      </c>
      <c r="L20">
        <v>2200</v>
      </c>
      <c r="M20">
        <v>2</v>
      </c>
      <c r="N20" t="str">
        <f t="shared" si="4"/>
        <v>94,2200,2</v>
      </c>
    </row>
    <row r="21" spans="2:14" x14ac:dyDescent="0.3">
      <c r="B21" t="s">
        <v>309</v>
      </c>
      <c r="C21" t="s">
        <v>258</v>
      </c>
      <c r="D21" t="s">
        <v>333</v>
      </c>
      <c r="E21" t="str">
        <f t="shared" si="0"/>
        <v>Ptreasure_finding</v>
      </c>
      <c r="F21">
        <v>95</v>
      </c>
      <c r="G21" t="str">
        <f t="shared" si="1"/>
        <v>Ptreasure_finding = 95;</v>
      </c>
      <c r="I21" t="str">
        <f t="shared" si="3"/>
        <v>int Ptreasure_finding;</v>
      </c>
      <c r="L21">
        <v>800</v>
      </c>
      <c r="M21">
        <v>2</v>
      </c>
      <c r="N21" t="str">
        <f t="shared" si="4"/>
        <v>95,800,2</v>
      </c>
    </row>
    <row r="22" spans="2:14" x14ac:dyDescent="0.3">
      <c r="B22" t="s">
        <v>309</v>
      </c>
      <c r="C22" t="s">
        <v>258</v>
      </c>
      <c r="D22" t="s">
        <v>350</v>
      </c>
      <c r="E22" t="str">
        <f t="shared" si="0"/>
        <v>Pinstant_healing</v>
      </c>
      <c r="F22">
        <v>96</v>
      </c>
      <c r="G22" t="str">
        <f t="shared" si="1"/>
        <v>Pinstant_healing = 96;</v>
      </c>
      <c r="I22" t="str">
        <f t="shared" si="3"/>
        <v>int Pinstant_healing;</v>
      </c>
      <c r="L22">
        <v>3700</v>
      </c>
      <c r="M22">
        <v>2</v>
      </c>
      <c r="N22" t="str">
        <f t="shared" si="4"/>
        <v>96,3700,2</v>
      </c>
    </row>
    <row r="23" spans="2:14" x14ac:dyDescent="0.3">
      <c r="B23" t="s">
        <v>309</v>
      </c>
      <c r="C23" t="s">
        <v>258</v>
      </c>
      <c r="D23" t="s">
        <v>327</v>
      </c>
      <c r="E23" t="str">
        <f t="shared" si="0"/>
        <v>Ppoison</v>
      </c>
      <c r="F23">
        <v>97</v>
      </c>
      <c r="G23" t="str">
        <f t="shared" si="1"/>
        <v>Ppoison = 97;</v>
      </c>
      <c r="I23" t="str">
        <f t="shared" si="3"/>
        <v>int Ppoison;</v>
      </c>
      <c r="L23">
        <v>500</v>
      </c>
      <c r="M23">
        <v>2</v>
      </c>
      <c r="N23" t="str">
        <f t="shared" si="4"/>
        <v>97,500,2</v>
      </c>
    </row>
    <row r="24" spans="2:14" x14ac:dyDescent="0.3">
      <c r="B24" t="s">
        <v>309</v>
      </c>
      <c r="C24" t="s">
        <v>258</v>
      </c>
      <c r="D24" t="s">
        <v>351</v>
      </c>
      <c r="E24" t="str">
        <f t="shared" si="0"/>
        <v>Psee_invisible</v>
      </c>
      <c r="F24">
        <v>98</v>
      </c>
      <c r="G24" t="str">
        <f t="shared" si="1"/>
        <v>Psee_invisible = 98;</v>
      </c>
      <c r="I24" t="str">
        <f t="shared" si="3"/>
        <v>int Psee_invisible;</v>
      </c>
      <c r="L24">
        <v>1500</v>
      </c>
      <c r="M24">
        <v>2</v>
      </c>
      <c r="N24" t="str">
        <f t="shared" si="4"/>
        <v>98,1500,2</v>
      </c>
    </row>
    <row r="25" spans="2:14" x14ac:dyDescent="0.3">
      <c r="B25" t="s">
        <v>328</v>
      </c>
      <c r="C25" t="s">
        <v>275</v>
      </c>
      <c r="D25" t="s">
        <v>334</v>
      </c>
      <c r="E25" t="str">
        <f t="shared" si="0"/>
        <v>Senchant_armor</v>
      </c>
      <c r="F25">
        <v>99</v>
      </c>
      <c r="G25" t="str">
        <f t="shared" si="1"/>
        <v>Senchant_armor = 99;</v>
      </c>
      <c r="I25" t="str">
        <f t="shared" si="3"/>
        <v>int Senchant_armor;</v>
      </c>
      <c r="L25">
        <v>1000</v>
      </c>
      <c r="M25">
        <v>2</v>
      </c>
      <c r="N25" t="str">
        <f t="shared" si="4"/>
        <v>99,1000,2</v>
      </c>
    </row>
    <row r="26" spans="2:14" x14ac:dyDescent="0.3">
      <c r="B26" t="s">
        <v>328</v>
      </c>
      <c r="C26" t="s">
        <v>275</v>
      </c>
      <c r="D26" t="s">
        <v>352</v>
      </c>
      <c r="E26" t="str">
        <f t="shared" si="0"/>
        <v>Senchant_weapon</v>
      </c>
      <c r="F26">
        <v>100</v>
      </c>
      <c r="G26" t="str">
        <f t="shared" si="1"/>
        <v>Senchant_weapon = 100;</v>
      </c>
      <c r="I26" t="str">
        <f t="shared" si="3"/>
        <v>int Senchant_weapon;</v>
      </c>
      <c r="L26">
        <v>1250</v>
      </c>
      <c r="M26">
        <v>2</v>
      </c>
      <c r="N26" t="str">
        <f t="shared" si="4"/>
        <v>100,1250,2</v>
      </c>
    </row>
    <row r="27" spans="2:14" x14ac:dyDescent="0.3">
      <c r="B27" t="s">
        <v>328</v>
      </c>
      <c r="C27" t="s">
        <v>275</v>
      </c>
      <c r="D27" t="s">
        <v>329</v>
      </c>
      <c r="E27" t="str">
        <f t="shared" si="0"/>
        <v>Senlightenment</v>
      </c>
      <c r="F27">
        <v>101</v>
      </c>
      <c r="G27" t="str">
        <f t="shared" si="1"/>
        <v>Senlightenment = 101;</v>
      </c>
      <c r="I27" t="str">
        <f t="shared" si="3"/>
        <v>int Senlightenment;</v>
      </c>
      <c r="L27">
        <v>600</v>
      </c>
      <c r="M27">
        <v>2</v>
      </c>
      <c r="N27" t="str">
        <f t="shared" si="4"/>
        <v>101,600,2</v>
      </c>
    </row>
    <row r="28" spans="2:14" x14ac:dyDescent="0.3">
      <c r="B28" t="s">
        <v>328</v>
      </c>
      <c r="C28" t="s">
        <v>275</v>
      </c>
      <c r="D28" t="s">
        <v>353</v>
      </c>
      <c r="E28" t="str">
        <f t="shared" si="0"/>
        <v>Sblank_papper</v>
      </c>
      <c r="F28">
        <v>102</v>
      </c>
      <c r="G28" t="str">
        <f t="shared" si="1"/>
        <v>Sblank_papper = 102;</v>
      </c>
      <c r="I28" t="str">
        <f t="shared" si="3"/>
        <v>int Sblank_papper;</v>
      </c>
      <c r="L28">
        <v>100</v>
      </c>
      <c r="M28">
        <v>2</v>
      </c>
      <c r="N28" t="str">
        <f t="shared" si="4"/>
        <v>102,100,2</v>
      </c>
    </row>
    <row r="29" spans="2:14" x14ac:dyDescent="0.3">
      <c r="B29" t="s">
        <v>328</v>
      </c>
      <c r="C29" t="s">
        <v>275</v>
      </c>
      <c r="D29" t="s">
        <v>341</v>
      </c>
      <c r="E29" t="str">
        <f t="shared" si="0"/>
        <v>Screate_monster</v>
      </c>
      <c r="F29">
        <v>103</v>
      </c>
      <c r="G29" t="str">
        <f t="shared" si="1"/>
        <v>Screate_monster = 103;</v>
      </c>
      <c r="I29" t="str">
        <f t="shared" si="3"/>
        <v>int Screate_monster;</v>
      </c>
      <c r="L29">
        <v>1000</v>
      </c>
      <c r="M29">
        <v>2</v>
      </c>
      <c r="N29" t="str">
        <f t="shared" si="4"/>
        <v>103,1000,2</v>
      </c>
    </row>
    <row r="30" spans="2:14" x14ac:dyDescent="0.3">
      <c r="B30" t="s">
        <v>328</v>
      </c>
      <c r="C30" t="s">
        <v>275</v>
      </c>
      <c r="D30" t="s">
        <v>335</v>
      </c>
      <c r="E30" t="str">
        <f t="shared" si="0"/>
        <v>Screate_artifact</v>
      </c>
      <c r="F30">
        <v>104</v>
      </c>
      <c r="G30" t="str">
        <f t="shared" si="1"/>
        <v>Screate_artifact = 104;</v>
      </c>
      <c r="I30" t="str">
        <f t="shared" si="3"/>
        <v>int Screate_artifact;</v>
      </c>
      <c r="L30">
        <v>2000</v>
      </c>
      <c r="M30">
        <v>2</v>
      </c>
      <c r="N30" t="str">
        <f t="shared" si="4"/>
        <v>104,2000,2</v>
      </c>
    </row>
    <row r="31" spans="2:14" x14ac:dyDescent="0.3">
      <c r="B31" t="s">
        <v>328</v>
      </c>
      <c r="C31" t="s">
        <v>275</v>
      </c>
      <c r="D31" t="s">
        <v>342</v>
      </c>
      <c r="E31" t="str">
        <f t="shared" si="0"/>
        <v>Saggravate_monsters</v>
      </c>
      <c r="F31">
        <v>105</v>
      </c>
      <c r="G31" t="str">
        <f t="shared" si="1"/>
        <v>Saggravate_monsters = 105;</v>
      </c>
      <c r="I31" t="str">
        <f t="shared" si="3"/>
        <v>int Saggravate_monsters;</v>
      </c>
      <c r="L31">
        <v>1100</v>
      </c>
      <c r="M31">
        <v>2</v>
      </c>
      <c r="N31" t="str">
        <f t="shared" si="4"/>
        <v>105,1100,2</v>
      </c>
    </row>
    <row r="32" spans="2:14" x14ac:dyDescent="0.3">
      <c r="B32" t="s">
        <v>328</v>
      </c>
      <c r="C32" t="s">
        <v>275</v>
      </c>
      <c r="D32" t="s">
        <v>336</v>
      </c>
      <c r="E32" t="str">
        <f t="shared" si="0"/>
        <v>Stime_warp</v>
      </c>
      <c r="F32">
        <v>106</v>
      </c>
      <c r="G32" t="str">
        <f t="shared" si="1"/>
        <v>Stime_warp = 106;</v>
      </c>
      <c r="I32" t="str">
        <f t="shared" si="3"/>
        <v>int Stime_warp;</v>
      </c>
      <c r="L32">
        <v>5000</v>
      </c>
      <c r="M32">
        <v>2</v>
      </c>
      <c r="N32" t="str">
        <f t="shared" si="4"/>
        <v>106,5000,2</v>
      </c>
    </row>
    <row r="33" spans="2:14" x14ac:dyDescent="0.3">
      <c r="B33" t="s">
        <v>328</v>
      </c>
      <c r="C33" t="s">
        <v>275</v>
      </c>
      <c r="D33" t="s">
        <v>330</v>
      </c>
      <c r="E33" t="str">
        <f t="shared" si="0"/>
        <v>Steleportation</v>
      </c>
      <c r="F33">
        <v>107</v>
      </c>
      <c r="G33" t="str">
        <f t="shared" si="1"/>
        <v>Steleportation = 107;</v>
      </c>
      <c r="I33" t="str">
        <f t="shared" si="3"/>
        <v>int Steleportation;</v>
      </c>
      <c r="L33">
        <v>2000</v>
      </c>
      <c r="M33">
        <v>2</v>
      </c>
      <c r="N33" t="str">
        <f t="shared" si="4"/>
        <v>107,2000,2</v>
      </c>
    </row>
    <row r="34" spans="2:14" x14ac:dyDescent="0.3">
      <c r="B34" t="s">
        <v>328</v>
      </c>
      <c r="C34" t="s">
        <v>275</v>
      </c>
      <c r="D34" t="s">
        <v>337</v>
      </c>
      <c r="E34" t="str">
        <f t="shared" si="0"/>
        <v>Sexpanded_awareness</v>
      </c>
      <c r="F34">
        <v>108</v>
      </c>
      <c r="G34" t="str">
        <f t="shared" si="1"/>
        <v>Sexpanded_awareness = 108;</v>
      </c>
      <c r="I34" t="str">
        <f t="shared" si="3"/>
        <v>int Sexpanded_awareness;</v>
      </c>
      <c r="L34">
        <v>2500</v>
      </c>
      <c r="M34">
        <v>2</v>
      </c>
      <c r="N34" t="str">
        <f t="shared" si="4"/>
        <v>108,2500,2</v>
      </c>
    </row>
    <row r="35" spans="2:14" x14ac:dyDescent="0.3">
      <c r="B35" t="s">
        <v>328</v>
      </c>
      <c r="C35" t="s">
        <v>275</v>
      </c>
      <c r="D35" t="s">
        <v>343</v>
      </c>
      <c r="E35" t="str">
        <f t="shared" si="0"/>
        <v>Shaste_monsters</v>
      </c>
      <c r="F35">
        <v>109</v>
      </c>
      <c r="G35" t="str">
        <f t="shared" si="1"/>
        <v>Shaste_monsters = 109;</v>
      </c>
      <c r="I35" t="str">
        <f t="shared" si="3"/>
        <v>int Shaste_monsters;</v>
      </c>
      <c r="L35">
        <v>200</v>
      </c>
      <c r="M35">
        <v>2</v>
      </c>
      <c r="N35" t="str">
        <f t="shared" si="4"/>
        <v>109,200,2</v>
      </c>
    </row>
    <row r="36" spans="2:14" x14ac:dyDescent="0.3">
      <c r="B36" t="s">
        <v>328</v>
      </c>
      <c r="C36" t="s">
        <v>275</v>
      </c>
      <c r="D36" t="s">
        <v>338</v>
      </c>
      <c r="E36" t="str">
        <f t="shared" si="0"/>
        <v>Smonster_healing</v>
      </c>
      <c r="F36">
        <v>110</v>
      </c>
      <c r="G36" t="str">
        <f t="shared" si="1"/>
        <v>Smonster_healing = 110;</v>
      </c>
      <c r="I36" t="str">
        <f t="shared" si="3"/>
        <v>int Smonster_healing;</v>
      </c>
      <c r="L36">
        <v>300</v>
      </c>
      <c r="M36">
        <v>2</v>
      </c>
      <c r="N36" t="str">
        <f t="shared" si="4"/>
        <v>110,300,2</v>
      </c>
    </row>
    <row r="37" spans="2:14" x14ac:dyDescent="0.3">
      <c r="B37" t="s">
        <v>328</v>
      </c>
      <c r="C37" t="s">
        <v>275</v>
      </c>
      <c r="D37" t="s">
        <v>344</v>
      </c>
      <c r="E37" t="str">
        <f t="shared" si="0"/>
        <v>Sspirit_protection</v>
      </c>
      <c r="F37">
        <v>111</v>
      </c>
      <c r="G37" t="str">
        <f t="shared" si="1"/>
        <v>Sspirit_protection = 111;</v>
      </c>
      <c r="I37" t="str">
        <f t="shared" si="3"/>
        <v>int Sspirit_protection;</v>
      </c>
      <c r="L37">
        <v>3400</v>
      </c>
      <c r="M37">
        <v>2</v>
      </c>
      <c r="N37" t="str">
        <f t="shared" si="4"/>
        <v>111,3400,2</v>
      </c>
    </row>
    <row r="38" spans="2:14" x14ac:dyDescent="0.3">
      <c r="B38" t="s">
        <v>328</v>
      </c>
      <c r="C38" t="s">
        <v>275</v>
      </c>
      <c r="D38" t="s">
        <v>339</v>
      </c>
      <c r="E38" t="str">
        <f t="shared" si="0"/>
        <v>Sundead_protection</v>
      </c>
      <c r="F38">
        <v>112</v>
      </c>
      <c r="G38" t="str">
        <f t="shared" si="1"/>
        <v>Sundead_protection = 112;</v>
      </c>
      <c r="I38" t="str">
        <f t="shared" si="3"/>
        <v>int Sundead_protection;</v>
      </c>
      <c r="L38">
        <v>3400</v>
      </c>
      <c r="M38">
        <v>2</v>
      </c>
      <c r="N38" t="str">
        <f t="shared" si="4"/>
        <v>112,3400,2</v>
      </c>
    </row>
    <row r="39" spans="2:14" x14ac:dyDescent="0.3">
      <c r="B39" t="s">
        <v>328</v>
      </c>
      <c r="C39" t="s">
        <v>275</v>
      </c>
      <c r="D39" t="s">
        <v>331</v>
      </c>
      <c r="E39" t="str">
        <f t="shared" si="0"/>
        <v>Sstealth</v>
      </c>
      <c r="F39">
        <v>113</v>
      </c>
      <c r="G39" t="str">
        <f t="shared" si="1"/>
        <v>Sstealth = 113;</v>
      </c>
      <c r="I39" t="str">
        <f t="shared" si="3"/>
        <v>int Sstealth;</v>
      </c>
      <c r="L39">
        <v>3000</v>
      </c>
      <c r="M39">
        <v>2</v>
      </c>
      <c r="N39" t="str">
        <f t="shared" si="4"/>
        <v>113,3000,2</v>
      </c>
    </row>
    <row r="40" spans="2:14" x14ac:dyDescent="0.3">
      <c r="B40" t="s">
        <v>328</v>
      </c>
      <c r="C40" t="s">
        <v>275</v>
      </c>
      <c r="D40" t="s">
        <v>340</v>
      </c>
      <c r="E40" t="str">
        <f t="shared" si="0"/>
        <v>Smagic_mapping</v>
      </c>
      <c r="F40">
        <v>114</v>
      </c>
      <c r="G40" t="str">
        <f t="shared" si="1"/>
        <v>Smagic_mapping = 114;</v>
      </c>
      <c r="I40" t="str">
        <f t="shared" si="3"/>
        <v>int Smagic_mapping;</v>
      </c>
      <c r="L40">
        <v>4000</v>
      </c>
      <c r="M40">
        <v>2</v>
      </c>
      <c r="N40" t="str">
        <f t="shared" si="4"/>
        <v>114,4000,2</v>
      </c>
    </row>
    <row r="41" spans="2:14" x14ac:dyDescent="0.3">
      <c r="B41" t="s">
        <v>328</v>
      </c>
      <c r="C41" t="s">
        <v>275</v>
      </c>
      <c r="D41" t="s">
        <v>346</v>
      </c>
      <c r="E41" t="str">
        <f t="shared" si="0"/>
        <v>Shold_monsters</v>
      </c>
      <c r="F41">
        <v>115</v>
      </c>
      <c r="G41" t="str">
        <f t="shared" si="1"/>
        <v>Shold_monsters = 115;</v>
      </c>
      <c r="I41" t="str">
        <f t="shared" si="3"/>
        <v>int Shold_monsters;</v>
      </c>
      <c r="L41">
        <v>5000</v>
      </c>
      <c r="M41">
        <v>2</v>
      </c>
      <c r="N41" t="str">
        <f t="shared" si="4"/>
        <v>115,5000,2</v>
      </c>
    </row>
    <row r="42" spans="2:14" x14ac:dyDescent="0.3">
      <c r="B42" t="s">
        <v>328</v>
      </c>
      <c r="C42" t="s">
        <v>275</v>
      </c>
      <c r="D42" t="s">
        <v>345</v>
      </c>
      <c r="E42" t="str">
        <f t="shared" si="0"/>
        <v>Sgem_perfection</v>
      </c>
      <c r="F42">
        <v>116</v>
      </c>
      <c r="G42" t="str">
        <f t="shared" si="1"/>
        <v>Sgem_perfection = 116;</v>
      </c>
      <c r="I42" t="str">
        <f t="shared" si="3"/>
        <v>int Sgem_perfection;</v>
      </c>
      <c r="L42">
        <v>10000</v>
      </c>
      <c r="M42">
        <v>2</v>
      </c>
      <c r="N42" t="str">
        <f t="shared" si="4"/>
        <v>116,10000,2</v>
      </c>
    </row>
    <row r="43" spans="2:14" x14ac:dyDescent="0.3">
      <c r="B43" t="s">
        <v>328</v>
      </c>
      <c r="C43" t="s">
        <v>275</v>
      </c>
      <c r="D43" t="s">
        <v>347</v>
      </c>
      <c r="E43" t="str">
        <f t="shared" si="0"/>
        <v>Sspell_extension</v>
      </c>
      <c r="F43">
        <v>117</v>
      </c>
      <c r="G43" t="str">
        <f t="shared" si="1"/>
        <v>Sspell_extension = 117;</v>
      </c>
      <c r="I43" t="str">
        <f t="shared" si="3"/>
        <v>int Sspell_extension;</v>
      </c>
      <c r="L43">
        <v>5000</v>
      </c>
      <c r="M43">
        <v>2</v>
      </c>
      <c r="N43" t="str">
        <f t="shared" si="4"/>
        <v>117,5000,2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853E-1A9C-4A1A-BC90-B9B4B474C420}">
  <dimension ref="A1:F26"/>
  <sheetViews>
    <sheetView workbookViewId="0">
      <selection activeCell="D1" sqref="D1:D26"/>
    </sheetView>
  </sheetViews>
  <sheetFormatPr defaultRowHeight="14.4" x14ac:dyDescent="0.3"/>
  <cols>
    <col min="3" max="3" width="18.77734375" bestFit="1" customWidth="1"/>
    <col min="4" max="4" width="25.44140625" bestFit="1" customWidth="1"/>
    <col min="5" max="5" width="14.5546875" customWidth="1"/>
  </cols>
  <sheetData>
    <row r="1" spans="1:6" x14ac:dyDescent="0.3">
      <c r="A1" t="s">
        <v>309</v>
      </c>
      <c r="B1" t="s">
        <v>310</v>
      </c>
      <c r="C1" t="s">
        <v>348</v>
      </c>
      <c r="D1" t="str">
        <f>CONCATENATE(A1," ",B1," ",C1)</f>
        <v>potion of sturdiness</v>
      </c>
      <c r="F1" t="s">
        <v>375</v>
      </c>
    </row>
    <row r="2" spans="1:6" x14ac:dyDescent="0.3">
      <c r="A2" t="s">
        <v>309</v>
      </c>
      <c r="B2" t="s">
        <v>310</v>
      </c>
      <c r="C2" t="s">
        <v>354</v>
      </c>
      <c r="D2" t="str">
        <f t="shared" ref="D2:D26" si="0">CONCATENATE(A2," ",B2," ",C2)</f>
        <v>potion of giant strength</v>
      </c>
    </row>
    <row r="3" spans="1:6" x14ac:dyDescent="0.3">
      <c r="A3" t="s">
        <v>309</v>
      </c>
      <c r="B3" t="s">
        <v>310</v>
      </c>
      <c r="C3" t="s">
        <v>355</v>
      </c>
      <c r="D3" t="str">
        <f t="shared" si="0"/>
        <v>potion of fire resistance</v>
      </c>
    </row>
    <row r="4" spans="1:6" x14ac:dyDescent="0.3">
      <c r="A4" t="s">
        <v>309</v>
      </c>
      <c r="B4" t="s">
        <v>310</v>
      </c>
      <c r="C4" t="s">
        <v>356</v>
      </c>
      <c r="D4" t="str">
        <f t="shared" si="0"/>
        <v>potion of treasure finding</v>
      </c>
    </row>
    <row r="5" spans="1:6" x14ac:dyDescent="0.3">
      <c r="A5" t="s">
        <v>309</v>
      </c>
      <c r="B5" t="s">
        <v>310</v>
      </c>
      <c r="C5" t="s">
        <v>357</v>
      </c>
      <c r="D5" t="str">
        <f t="shared" si="0"/>
        <v>potion of instant healing</v>
      </c>
    </row>
    <row r="6" spans="1:6" x14ac:dyDescent="0.3">
      <c r="A6" t="s">
        <v>309</v>
      </c>
      <c r="B6" t="s">
        <v>310</v>
      </c>
      <c r="C6" t="s">
        <v>327</v>
      </c>
      <c r="D6" t="str">
        <f t="shared" si="0"/>
        <v>potion of poison</v>
      </c>
    </row>
    <row r="7" spans="1:6" x14ac:dyDescent="0.3">
      <c r="A7" t="s">
        <v>309</v>
      </c>
      <c r="B7" t="s">
        <v>310</v>
      </c>
      <c r="C7" t="s">
        <v>358</v>
      </c>
      <c r="D7" t="str">
        <f t="shared" si="0"/>
        <v>potion of see invisible</v>
      </c>
    </row>
    <row r="8" spans="1:6" x14ac:dyDescent="0.3">
      <c r="A8" t="s">
        <v>328</v>
      </c>
      <c r="B8" t="s">
        <v>310</v>
      </c>
      <c r="C8" t="s">
        <v>359</v>
      </c>
      <c r="D8" t="str">
        <f t="shared" si="0"/>
        <v>scroll of enchant armor</v>
      </c>
    </row>
    <row r="9" spans="1:6" x14ac:dyDescent="0.3">
      <c r="A9" t="s">
        <v>328</v>
      </c>
      <c r="B9" t="s">
        <v>310</v>
      </c>
      <c r="C9" t="s">
        <v>360</v>
      </c>
      <c r="D9" t="str">
        <f t="shared" si="0"/>
        <v>scroll of enchant weapon</v>
      </c>
    </row>
    <row r="10" spans="1:6" x14ac:dyDescent="0.3">
      <c r="A10" t="s">
        <v>328</v>
      </c>
      <c r="B10" t="s">
        <v>310</v>
      </c>
      <c r="C10" t="s">
        <v>329</v>
      </c>
      <c r="D10" t="str">
        <f t="shared" si="0"/>
        <v>scroll of enlightenment</v>
      </c>
    </row>
    <row r="11" spans="1:6" x14ac:dyDescent="0.3">
      <c r="A11" t="s">
        <v>328</v>
      </c>
      <c r="B11" t="s">
        <v>310</v>
      </c>
      <c r="C11" t="s">
        <v>361</v>
      </c>
      <c r="D11" t="str">
        <f t="shared" si="0"/>
        <v>scroll of blank papper</v>
      </c>
    </row>
    <row r="12" spans="1:6" x14ac:dyDescent="0.3">
      <c r="A12" t="s">
        <v>328</v>
      </c>
      <c r="B12" t="s">
        <v>310</v>
      </c>
      <c r="C12" t="s">
        <v>362</v>
      </c>
      <c r="D12" t="str">
        <f t="shared" si="0"/>
        <v>scroll of create monster</v>
      </c>
    </row>
    <row r="13" spans="1:6" x14ac:dyDescent="0.3">
      <c r="A13" t="s">
        <v>328</v>
      </c>
      <c r="B13" t="s">
        <v>310</v>
      </c>
      <c r="C13" t="s">
        <v>363</v>
      </c>
      <c r="D13" t="str">
        <f t="shared" si="0"/>
        <v>scroll of create artifact</v>
      </c>
    </row>
    <row r="14" spans="1:6" x14ac:dyDescent="0.3">
      <c r="A14" t="s">
        <v>328</v>
      </c>
      <c r="B14" t="s">
        <v>310</v>
      </c>
      <c r="C14" t="s">
        <v>364</v>
      </c>
      <c r="D14" t="str">
        <f t="shared" si="0"/>
        <v>scroll of aggravate monsters</v>
      </c>
    </row>
    <row r="15" spans="1:6" x14ac:dyDescent="0.3">
      <c r="A15" t="s">
        <v>328</v>
      </c>
      <c r="B15" t="s">
        <v>310</v>
      </c>
      <c r="C15" t="s">
        <v>365</v>
      </c>
      <c r="D15" t="str">
        <f t="shared" si="0"/>
        <v>scroll of time warp</v>
      </c>
    </row>
    <row r="16" spans="1:6" x14ac:dyDescent="0.3">
      <c r="A16" t="s">
        <v>328</v>
      </c>
      <c r="B16" t="s">
        <v>310</v>
      </c>
      <c r="C16" t="s">
        <v>330</v>
      </c>
      <c r="D16" t="str">
        <f t="shared" si="0"/>
        <v>scroll of teleportation</v>
      </c>
    </row>
    <row r="17" spans="1:4" x14ac:dyDescent="0.3">
      <c r="A17" t="s">
        <v>328</v>
      </c>
      <c r="B17" t="s">
        <v>310</v>
      </c>
      <c r="C17" t="s">
        <v>366</v>
      </c>
      <c r="D17" t="str">
        <f t="shared" si="0"/>
        <v>scroll of expanded awareness</v>
      </c>
    </row>
    <row r="18" spans="1:4" x14ac:dyDescent="0.3">
      <c r="A18" t="s">
        <v>328</v>
      </c>
      <c r="B18" t="s">
        <v>310</v>
      </c>
      <c r="C18" t="s">
        <v>367</v>
      </c>
      <c r="D18" t="str">
        <f t="shared" si="0"/>
        <v>scroll of haste monsters</v>
      </c>
    </row>
    <row r="19" spans="1:4" x14ac:dyDescent="0.3">
      <c r="A19" t="s">
        <v>328</v>
      </c>
      <c r="B19" t="s">
        <v>310</v>
      </c>
      <c r="C19" t="s">
        <v>368</v>
      </c>
      <c r="D19" t="str">
        <f t="shared" si="0"/>
        <v>scroll of monster healing</v>
      </c>
    </row>
    <row r="20" spans="1:4" x14ac:dyDescent="0.3">
      <c r="A20" t="s">
        <v>328</v>
      </c>
      <c r="B20" t="s">
        <v>310</v>
      </c>
      <c r="C20" t="s">
        <v>369</v>
      </c>
      <c r="D20" t="str">
        <f t="shared" si="0"/>
        <v>scroll of spirit protection</v>
      </c>
    </row>
    <row r="21" spans="1:4" x14ac:dyDescent="0.3">
      <c r="A21" t="s">
        <v>328</v>
      </c>
      <c r="B21" t="s">
        <v>310</v>
      </c>
      <c r="C21" t="s">
        <v>370</v>
      </c>
      <c r="D21" t="str">
        <f t="shared" si="0"/>
        <v>scroll of undead protection</v>
      </c>
    </row>
    <row r="22" spans="1:4" x14ac:dyDescent="0.3">
      <c r="A22" t="s">
        <v>328</v>
      </c>
      <c r="B22" t="s">
        <v>310</v>
      </c>
      <c r="C22" t="s">
        <v>331</v>
      </c>
      <c r="D22" t="str">
        <f t="shared" si="0"/>
        <v>scroll of stealth</v>
      </c>
    </row>
    <row r="23" spans="1:4" x14ac:dyDescent="0.3">
      <c r="A23" t="s">
        <v>328</v>
      </c>
      <c r="B23" t="s">
        <v>310</v>
      </c>
      <c r="C23" t="s">
        <v>371</v>
      </c>
      <c r="D23" t="str">
        <f t="shared" si="0"/>
        <v>scroll of magic mapping</v>
      </c>
    </row>
    <row r="24" spans="1:4" x14ac:dyDescent="0.3">
      <c r="A24" t="s">
        <v>328</v>
      </c>
      <c r="B24" t="s">
        <v>310</v>
      </c>
      <c r="C24" t="s">
        <v>372</v>
      </c>
      <c r="D24" t="str">
        <f t="shared" si="0"/>
        <v>scroll of hold monsters</v>
      </c>
    </row>
    <row r="25" spans="1:4" x14ac:dyDescent="0.3">
      <c r="A25" t="s">
        <v>328</v>
      </c>
      <c r="B25" t="s">
        <v>310</v>
      </c>
      <c r="C25" t="s">
        <v>373</v>
      </c>
      <c r="D25" t="str">
        <f t="shared" si="0"/>
        <v>scroll of gem perfection</v>
      </c>
    </row>
    <row r="26" spans="1:4" x14ac:dyDescent="0.3">
      <c r="A26" t="s">
        <v>328</v>
      </c>
      <c r="B26" t="s">
        <v>310</v>
      </c>
      <c r="C26" t="s">
        <v>374</v>
      </c>
      <c r="D26" t="str">
        <f t="shared" si="0"/>
        <v>scroll of spell extension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Farrelly, Daniel</dc:creator>
  <cp:lastModifiedBy>Farrelly, Daniel</cp:lastModifiedBy>
  <dcterms:created xsi:type="dcterms:W3CDTF">2023-09-11T23:13:54Z</dcterms:created>
  <dcterms:modified xsi:type="dcterms:W3CDTF">2023-09-22T01:31:17Z</dcterms:modified>
</cp:coreProperties>
</file>